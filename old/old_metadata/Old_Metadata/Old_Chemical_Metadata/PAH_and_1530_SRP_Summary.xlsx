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27"/>
  <workbookPr/>
  <mc:AlternateContent xmlns:mc="http://schemas.openxmlformats.org/markup-compatibility/2006">
    <mc:Choice Requires="x15">
      <x15ac:absPath xmlns:x15ac="http://schemas.microsoft.com/office/spreadsheetml/2010/11/ac" url="https://pnnl-my.sharepoint.com/personal/sara_gosline_pnnl_gov/Documents/Documents/GitHub/srpAnalytics/data/"/>
    </mc:Choice>
  </mc:AlternateContent>
  <xr:revisionPtr revIDLastSave="1" documentId="11_9C982125796F70EF0F7E8C191212743295690075" xr6:coauthVersionLast="47" xr6:coauthVersionMax="47" xr10:uidLastSave="{1DAF0EF9-A5DE-43DE-ACD7-B57350470968}"/>
  <bookViews>
    <workbookView xWindow="0" yWindow="500" windowWidth="38400" windowHeight="19620" firstSheet="2" activeTab="3" xr2:uid="{00000000-000D-0000-FFFF-FFFF00000000}"/>
  </bookViews>
  <sheets>
    <sheet name="Master Summary Key" sheetId="30" r:id="rId1"/>
    <sheet name="Master summary-PAHs" sheetId="29" r:id="rId2"/>
    <sheet name="Toxicity Unit Scaling" sheetId="34" r:id="rId3"/>
    <sheet name="Master Summary-Non-PAHs" sheetId="35" r:id="rId4"/>
  </sheets>
  <externalReferences>
    <externalReference r:id="rId5"/>
  </externalReferences>
  <definedNames>
    <definedName name="_xlnm._FilterDatabase" localSheetId="1" hidden="1">'Master summary-PAHs'!$A$1:$AN$1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P32" i="34" l="1"/>
  <c r="O32" i="34"/>
  <c r="N32" i="34"/>
  <c r="M32" i="34"/>
  <c r="L32" i="34"/>
  <c r="K32" i="34"/>
  <c r="J32" i="34"/>
  <c r="P31" i="34"/>
  <c r="O31" i="34"/>
  <c r="N31" i="34"/>
  <c r="M31" i="34"/>
  <c r="L31" i="34"/>
  <c r="K31" i="34"/>
  <c r="J31" i="34"/>
  <c r="P30" i="34"/>
  <c r="O30" i="34"/>
  <c r="N30" i="34"/>
  <c r="M30" i="34"/>
  <c r="L30" i="34"/>
  <c r="K30" i="34"/>
  <c r="J30" i="34"/>
  <c r="P29" i="34"/>
  <c r="O29" i="34"/>
  <c r="N29" i="34"/>
  <c r="M29" i="34"/>
  <c r="L29" i="34"/>
  <c r="K29" i="34"/>
  <c r="J29" i="34"/>
  <c r="P28" i="34"/>
  <c r="O28" i="34"/>
  <c r="N28" i="34"/>
  <c r="M28" i="34"/>
  <c r="L28" i="34"/>
  <c r="K28" i="34"/>
  <c r="J28" i="34"/>
  <c r="P27" i="34"/>
  <c r="O27" i="34"/>
  <c r="N27" i="34"/>
  <c r="M27" i="34"/>
  <c r="L27" i="34"/>
  <c r="K27" i="34"/>
  <c r="J27" i="34"/>
  <c r="P26" i="34"/>
  <c r="O26" i="34"/>
  <c r="N26" i="34"/>
  <c r="M26" i="34"/>
  <c r="L26" i="34"/>
  <c r="K26" i="34"/>
  <c r="J26" i="34"/>
  <c r="P25" i="34"/>
  <c r="O25" i="34"/>
  <c r="N25" i="34"/>
  <c r="M25" i="34"/>
  <c r="L25" i="34"/>
  <c r="K25" i="34"/>
  <c r="J25" i="34"/>
  <c r="P24" i="34"/>
  <c r="O24" i="34"/>
  <c r="N24" i="34"/>
  <c r="M24" i="34"/>
  <c r="L24" i="34"/>
  <c r="K24" i="34"/>
  <c r="J24" i="34"/>
  <c r="P23" i="34"/>
  <c r="O23" i="34"/>
  <c r="N23" i="34"/>
  <c r="M23" i="34"/>
  <c r="L23" i="34"/>
  <c r="K23" i="34"/>
  <c r="J23" i="34"/>
  <c r="P22" i="34"/>
  <c r="O22" i="34"/>
  <c r="N22" i="34"/>
  <c r="M22" i="34"/>
  <c r="L22" i="34"/>
  <c r="K22" i="34"/>
  <c r="J22" i="34"/>
  <c r="P21" i="34"/>
  <c r="O21" i="34"/>
  <c r="N21" i="34"/>
  <c r="M21" i="34"/>
  <c r="L21" i="34"/>
  <c r="K21" i="34"/>
  <c r="J21" i="34"/>
  <c r="P20" i="34"/>
  <c r="O20" i="34"/>
  <c r="N20" i="34"/>
  <c r="M20" i="34"/>
  <c r="L20" i="34"/>
  <c r="K20" i="34"/>
  <c r="J20" i="34"/>
  <c r="P19" i="34"/>
  <c r="O19" i="34"/>
  <c r="N19" i="34"/>
  <c r="M19" i="34"/>
  <c r="L19" i="34"/>
  <c r="K19" i="34"/>
  <c r="J19" i="34"/>
  <c r="P18" i="34"/>
  <c r="O18" i="34"/>
  <c r="N18" i="34"/>
  <c r="M18" i="34"/>
  <c r="L18" i="34"/>
  <c r="K18" i="34"/>
  <c r="J18" i="34"/>
  <c r="P17" i="34"/>
  <c r="O17" i="34"/>
  <c r="N17" i="34"/>
  <c r="M17" i="34"/>
  <c r="L17" i="34"/>
  <c r="K17" i="34"/>
  <c r="J17" i="34"/>
  <c r="P16" i="34"/>
  <c r="O16" i="34"/>
  <c r="N16" i="34"/>
  <c r="M16" i="34"/>
  <c r="L16" i="34"/>
  <c r="K16" i="34"/>
  <c r="J16" i="34"/>
  <c r="P15" i="34"/>
  <c r="O15" i="34"/>
  <c r="N15" i="34"/>
  <c r="M15" i="34"/>
  <c r="L15" i="34"/>
  <c r="K15" i="34"/>
  <c r="J15" i="34"/>
  <c r="P14" i="34"/>
  <c r="O14" i="34"/>
  <c r="N14" i="34"/>
  <c r="M14" i="34"/>
  <c r="L14" i="34"/>
  <c r="K14" i="34"/>
  <c r="J14" i="34"/>
  <c r="P13" i="34"/>
  <c r="O13" i="34"/>
  <c r="N13" i="34"/>
  <c r="M13" i="34"/>
  <c r="L13" i="34"/>
  <c r="K13" i="34"/>
  <c r="J13" i="34"/>
  <c r="P12" i="34"/>
  <c r="O12" i="34"/>
  <c r="N12" i="34"/>
  <c r="M12" i="34"/>
  <c r="L12" i="34"/>
  <c r="K12" i="34"/>
  <c r="J12" i="34"/>
  <c r="P11" i="34"/>
  <c r="O11" i="34"/>
  <c r="N11" i="34"/>
  <c r="M11" i="34"/>
  <c r="L11" i="34"/>
  <c r="K11" i="34"/>
  <c r="J11" i="34"/>
  <c r="P10" i="34"/>
  <c r="O10" i="34"/>
  <c r="N10" i="34"/>
  <c r="M10" i="34"/>
  <c r="L10" i="34"/>
  <c r="K10" i="34"/>
  <c r="J10" i="34"/>
  <c r="P9" i="34"/>
  <c r="O9" i="34"/>
  <c r="N9" i="34"/>
  <c r="M9" i="34"/>
  <c r="L9" i="34"/>
  <c r="K9" i="34"/>
  <c r="J9" i="34"/>
  <c r="P8" i="34"/>
  <c r="O8" i="34"/>
  <c r="N8" i="34"/>
  <c r="M8" i="34"/>
  <c r="L8" i="34"/>
  <c r="K8" i="34"/>
  <c r="J8" i="34"/>
  <c r="P7" i="34"/>
  <c r="O7" i="34"/>
  <c r="N7" i="34"/>
  <c r="M7" i="34"/>
  <c r="L7" i="34"/>
  <c r="K7" i="34"/>
  <c r="J7" i="34"/>
  <c r="P6" i="34"/>
  <c r="O6" i="34"/>
  <c r="N6" i="34"/>
  <c r="M6" i="34"/>
  <c r="L6" i="34"/>
  <c r="K6" i="34"/>
  <c r="J6" i="34"/>
  <c r="P5" i="34"/>
  <c r="O5" i="34"/>
  <c r="N5" i="34"/>
  <c r="M5" i="34"/>
  <c r="L5" i="34"/>
  <c r="K5" i="34"/>
  <c r="J5" i="34"/>
  <c r="P4" i="34"/>
  <c r="O4" i="34"/>
  <c r="N4" i="34"/>
  <c r="M4" i="34"/>
  <c r="L4" i="34"/>
  <c r="K4" i="34"/>
  <c r="J4" i="34"/>
  <c r="P3" i="34"/>
  <c r="O3" i="34"/>
  <c r="N3" i="34"/>
  <c r="M3" i="34"/>
  <c r="L3" i="34"/>
  <c r="K3" i="34"/>
  <c r="J3" i="34"/>
  <c r="P2" i="34"/>
  <c r="O2" i="34"/>
  <c r="N2" i="34"/>
  <c r="M2" i="34"/>
  <c r="L2" i="34"/>
  <c r="K2" i="34"/>
  <c r="J2" i="34"/>
</calcChain>
</file>

<file path=xl/sharedStrings.xml><?xml version="1.0" encoding="utf-8"?>
<sst xmlns="http://schemas.openxmlformats.org/spreadsheetml/2006/main" count="15871" uniqueCount="6093">
  <si>
    <t>NA</t>
  </si>
  <si>
    <t>832-69-9</t>
  </si>
  <si>
    <t>2381-21-7</t>
  </si>
  <si>
    <t>2,3-Dimethylanthracene</t>
  </si>
  <si>
    <t>613-06-9</t>
  </si>
  <si>
    <t>2-methylanthracene</t>
  </si>
  <si>
    <t>613-12-7</t>
  </si>
  <si>
    <t>2531-84-2</t>
  </si>
  <si>
    <t>3,6-Dimethylphenanthrene</t>
  </si>
  <si>
    <t>1576-67-6</t>
  </si>
  <si>
    <t>781-43-1</t>
  </si>
  <si>
    <t>779-02-2</t>
  </si>
  <si>
    <t>Acenaphthene</t>
  </si>
  <si>
    <t>83-32-9</t>
  </si>
  <si>
    <t>Acenaphthylene</t>
  </si>
  <si>
    <t>208-96-8</t>
  </si>
  <si>
    <t>Anthracene</t>
  </si>
  <si>
    <t>120-12-7</t>
  </si>
  <si>
    <t>56-55-3</t>
  </si>
  <si>
    <t>50-32-8</t>
  </si>
  <si>
    <t>205-99-2</t>
  </si>
  <si>
    <t>192-97-2</t>
  </si>
  <si>
    <t>191-24-2</t>
  </si>
  <si>
    <t>207-08-9</t>
  </si>
  <si>
    <t>Chrysene</t>
  </si>
  <si>
    <t>218-01-9</t>
  </si>
  <si>
    <t>1705-85-7</t>
  </si>
  <si>
    <t>53-70-3</t>
  </si>
  <si>
    <t>191-30-0</t>
  </si>
  <si>
    <t>132-65-0</t>
  </si>
  <si>
    <t>Fluoranthene</t>
  </si>
  <si>
    <t>206-44-0</t>
  </si>
  <si>
    <t>Fluorene</t>
  </si>
  <si>
    <t>86-73-7</t>
  </si>
  <si>
    <t>193-39-5</t>
  </si>
  <si>
    <t>Naphthalene</t>
  </si>
  <si>
    <t>91-20-3</t>
  </si>
  <si>
    <t>573-98-8</t>
  </si>
  <si>
    <t>575-43-9</t>
  </si>
  <si>
    <t>90-12-0</t>
  </si>
  <si>
    <t>91-57-6</t>
  </si>
  <si>
    <t>Phenanthrene</t>
  </si>
  <si>
    <t>85-01-8</t>
  </si>
  <si>
    <t>Pyrene</t>
  </si>
  <si>
    <t>129-00-0</t>
  </si>
  <si>
    <t>Retene</t>
  </si>
  <si>
    <t>483-65-8</t>
  </si>
  <si>
    <t>524-42-5</t>
  </si>
  <si>
    <t>635-12-1</t>
  </si>
  <si>
    <t>1,4-Benzoquinone</t>
  </si>
  <si>
    <t>2237-14-1</t>
  </si>
  <si>
    <t>1,4-Naphthoquinone</t>
  </si>
  <si>
    <t>130-15-4</t>
  </si>
  <si>
    <t>82-05-3</t>
  </si>
  <si>
    <t>84-51-5</t>
  </si>
  <si>
    <t>5737-13-3</t>
  </si>
  <si>
    <t>5,12-naphthacenequinone</t>
  </si>
  <si>
    <t>1090-13-7</t>
  </si>
  <si>
    <t>3074-00-8</t>
  </si>
  <si>
    <t>84-65-1</t>
  </si>
  <si>
    <t>486-25-9</t>
  </si>
  <si>
    <t>6373-11-1</t>
  </si>
  <si>
    <t>82-86-0</t>
  </si>
  <si>
    <t>46J</t>
  </si>
  <si>
    <t>30J</t>
  </si>
  <si>
    <t>44J</t>
  </si>
  <si>
    <t>55J</t>
  </si>
  <si>
    <t>Benz(a)anthracene-7,12-dione</t>
  </si>
  <si>
    <t>2498-66-0</t>
  </si>
  <si>
    <t>109699-80-1</t>
  </si>
  <si>
    <t>479-79-8</t>
  </si>
  <si>
    <t>Chromone</t>
  </si>
  <si>
    <t>491-38-3</t>
  </si>
  <si>
    <t>Perinaphthenone</t>
  </si>
  <si>
    <t>548-39-0</t>
  </si>
  <si>
    <t>569-15-3</t>
  </si>
  <si>
    <t>84-11-7</t>
  </si>
  <si>
    <t>Pyrene-4,5-dione</t>
  </si>
  <si>
    <t>Xanthone</t>
  </si>
  <si>
    <t>90-47-1</t>
  </si>
  <si>
    <t>Portland Harbor 2013</t>
  </si>
  <si>
    <t>Parameter ID</t>
  </si>
  <si>
    <t>1-Methylnaphthalene</t>
  </si>
  <si>
    <t>939-27-5</t>
  </si>
  <si>
    <t>2,6-Dimethylnaphthalene</t>
  </si>
  <si>
    <t>1,4-dimethylnaphthalene</t>
  </si>
  <si>
    <t>571-58-4</t>
  </si>
  <si>
    <t>1,5-dimethylnaphthalene</t>
  </si>
  <si>
    <t>571-61-9</t>
  </si>
  <si>
    <t>1,2-dimethylnaphthalene</t>
  </si>
  <si>
    <t>1,8-Dimethylnaphthalene</t>
  </si>
  <si>
    <t>569-41-5</t>
  </si>
  <si>
    <t>59919-41-4</t>
  </si>
  <si>
    <t>2-Methylanthracene</t>
  </si>
  <si>
    <t>238-84-6</t>
  </si>
  <si>
    <t>243-17-4</t>
  </si>
  <si>
    <t>205-12-9</t>
  </si>
  <si>
    <t>27208-37-3</t>
  </si>
  <si>
    <t>Triphenylene</t>
  </si>
  <si>
    <t>217-59-4</t>
  </si>
  <si>
    <t>3697-24-3</t>
  </si>
  <si>
    <t>57-97-6</t>
  </si>
  <si>
    <t>205-82-3</t>
  </si>
  <si>
    <t>213-46-7</t>
  </si>
  <si>
    <t>191-26-4</t>
  </si>
  <si>
    <t>5385-22-8</t>
  </si>
  <si>
    <t>205-83-4</t>
  </si>
  <si>
    <t>5385-75-1</t>
  </si>
  <si>
    <t>207-18-1</t>
  </si>
  <si>
    <t>193-09-9</t>
  </si>
  <si>
    <t>192-65-4</t>
  </si>
  <si>
    <t>Coronene</t>
  </si>
  <si>
    <t>191-07-1</t>
  </si>
  <si>
    <t>192-51-8</t>
  </si>
  <si>
    <t>196-42-9</t>
  </si>
  <si>
    <t>197-70-6</t>
  </si>
  <si>
    <t>189-55-9</t>
  </si>
  <si>
    <t>189-64-0</t>
  </si>
  <si>
    <t>Gulf 2010-2011</t>
  </si>
  <si>
    <t>C26650</t>
  </si>
  <si>
    <t>2-methylnaphthalene</t>
  </si>
  <si>
    <t>acenaphthene</t>
  </si>
  <si>
    <t>benz[a]anthracene</t>
  </si>
  <si>
    <t>chrysene</t>
  </si>
  <si>
    <t>fluoranthene</t>
  </si>
  <si>
    <t>fluorene</t>
  </si>
  <si>
    <t>naphthalene</t>
  </si>
  <si>
    <t>phenanthrene</t>
  </si>
  <si>
    <t>pyrene</t>
  </si>
  <si>
    <t>retene</t>
  </si>
  <si>
    <t>acenaphthylene</t>
  </si>
  <si>
    <t>anthracene</t>
  </si>
  <si>
    <t>benzo[a]pyrene</t>
  </si>
  <si>
    <t>benzo[b]fluoranthene</t>
  </si>
  <si>
    <t>benzo[ghi]perylene</t>
  </si>
  <si>
    <t>benzo[k]fluoranthene</t>
  </si>
  <si>
    <t>indeno[1,2,3-cd]pyrene</t>
  </si>
  <si>
    <t>Portland Harbor 2014</t>
  </si>
  <si>
    <t>1-methylnaphthalene</t>
  </si>
  <si>
    <t>1-methylphenanthrene</t>
  </si>
  <si>
    <t>6-methylchrysene</t>
  </si>
  <si>
    <t>benzo[e]pyrene</t>
  </si>
  <si>
    <t>benzo[j]fluoranthene</t>
  </si>
  <si>
    <t>9-methylanthracene</t>
  </si>
  <si>
    <t>triphenylene</t>
  </si>
  <si>
    <t>111189-32-3</t>
  </si>
  <si>
    <t>benzo[b]perylene</t>
  </si>
  <si>
    <t>benzo[a]chrysene</t>
  </si>
  <si>
    <t>coronene</t>
  </si>
  <si>
    <t>dibenzothiophene</t>
  </si>
  <si>
    <t>2-methylphenanthrene</t>
  </si>
  <si>
    <t>1-methylpyrene</t>
  </si>
  <si>
    <t>anthanthrene</t>
  </si>
  <si>
    <t>benzo[c]fluorene</t>
  </si>
  <si>
    <t>581-42-0</t>
  </si>
  <si>
    <t>cyclopenta[cd]pyrene</t>
  </si>
  <si>
    <t>2-ethylnaphthalene</t>
  </si>
  <si>
    <t>5-methylchrysene</t>
  </si>
  <si>
    <t>benzo[a]fluorene</t>
  </si>
  <si>
    <t>benzo[b]fluorene</t>
  </si>
  <si>
    <t>1,6-dimethylnaphthalene</t>
  </si>
  <si>
    <t>1,8-dimethylnaphthalene</t>
  </si>
  <si>
    <t>2,3-dimethylanthracene</t>
  </si>
  <si>
    <t>2,6-diethylnaphthalene</t>
  </si>
  <si>
    <t>2,6-dimethylnaphthalene</t>
  </si>
  <si>
    <t>3,6-dimethylphenanthrene</t>
  </si>
  <si>
    <t>7,12-dimethylbenz[a]anthracene</t>
  </si>
  <si>
    <t>9,10-dimethylanthracene</t>
  </si>
  <si>
    <t>dibenzo[a,e]fluoranthene</t>
  </si>
  <si>
    <t>dibenzo[a,e]pyrene</t>
  </si>
  <si>
    <t>dibenzo[a,h]pyrene</t>
  </si>
  <si>
    <t>dibenzo[a,i]pyrene</t>
  </si>
  <si>
    <t>dibenzo[a,l]pyrene</t>
  </si>
  <si>
    <t>dibenzo[e,l]pyrene</t>
  </si>
  <si>
    <t>naphtho[1,2-b]fluoranthene</t>
  </si>
  <si>
    <t>naphtho[2,3-a]pyrene</t>
  </si>
  <si>
    <t>naphtho[2,3-e]pyrene</t>
  </si>
  <si>
    <t>naphtho[2,3-j]fluoranthene</t>
  </si>
  <si>
    <t>naphtho[2,3-k]fluoranthene</t>
  </si>
  <si>
    <t>ChemicalName</t>
  </si>
  <si>
    <t>Zebrafish Bottle ID</t>
  </si>
  <si>
    <t>CAS</t>
  </si>
  <si>
    <t>Class</t>
  </si>
  <si>
    <t>ZAAP_CID</t>
  </si>
  <si>
    <t>Method</t>
  </si>
  <si>
    <t>Alternative Name</t>
  </si>
  <si>
    <t>1,2-Dimethylnaphthalene</t>
  </si>
  <si>
    <t>C96423</t>
  </si>
  <si>
    <t>PAH_Alkylated</t>
  </si>
  <si>
    <t>Anderson 65 PAH</t>
  </si>
  <si>
    <t>1,2-naphthoquinone</t>
  </si>
  <si>
    <t>C45230</t>
  </si>
  <si>
    <t>PAH_Oxy</t>
  </si>
  <si>
    <t>Simonich</t>
  </si>
  <si>
    <t>1,3-dihydroxynaphthalene</t>
  </si>
  <si>
    <t>C60678</t>
  </si>
  <si>
    <t>132-86-5</t>
  </si>
  <si>
    <t>PAH_Hydroxy</t>
  </si>
  <si>
    <t>1,3-Dinitropyrene</t>
  </si>
  <si>
    <t>C66731</t>
  </si>
  <si>
    <t>75321-20-9</t>
  </si>
  <si>
    <t>PAH_Nitro</t>
  </si>
  <si>
    <t>1,4-anthraquinone</t>
  </si>
  <si>
    <t>C41081</t>
  </si>
  <si>
    <t>1,4-Dimethylnaphthalene</t>
  </si>
  <si>
    <t>C21927</t>
  </si>
  <si>
    <t>1,4-phenanthrenedione</t>
  </si>
  <si>
    <t>C14686</t>
  </si>
  <si>
    <t>1,5-dihydroxynaphthalene</t>
  </si>
  <si>
    <t>C02586</t>
  </si>
  <si>
    <t>83-56-7</t>
  </si>
  <si>
    <t>C21599</t>
  </si>
  <si>
    <t>1,6-dihydroxynaphthalene</t>
  </si>
  <si>
    <t>C05280</t>
  </si>
  <si>
    <t>575-44-0</t>
  </si>
  <si>
    <t>1,6-Dimethylnaphthalene</t>
  </si>
  <si>
    <t>C77873</t>
  </si>
  <si>
    <t>1,6-Dinitropyrene</t>
  </si>
  <si>
    <t>C88151</t>
  </si>
  <si>
    <t>42397-64-8</t>
  </si>
  <si>
    <t>C18955</t>
  </si>
  <si>
    <t>1,8-Dinitropyrene</t>
  </si>
  <si>
    <t>C73493</t>
  </si>
  <si>
    <t>42397-65-9</t>
  </si>
  <si>
    <t>10-hydroxybenzo[a]pyrene</t>
  </si>
  <si>
    <t>C19404</t>
  </si>
  <si>
    <t>56892-31-0</t>
  </si>
  <si>
    <t>11-H-benzo[b]fluoren-11-one</t>
  </si>
  <si>
    <t>C59710</t>
  </si>
  <si>
    <t>3074-03-1</t>
  </si>
  <si>
    <t>1-Aminopyrene</t>
  </si>
  <si>
    <t>C82143</t>
  </si>
  <si>
    <t>1606-67-3</t>
  </si>
  <si>
    <t>1-hydroxyindeno[1,2,3-c,d]pyrene</t>
  </si>
  <si>
    <t>C50387</t>
  </si>
  <si>
    <t>99520-65-7</t>
  </si>
  <si>
    <t>1-hydroxynaphthalene</t>
  </si>
  <si>
    <t>C56381</t>
  </si>
  <si>
    <t>90-15-3</t>
  </si>
  <si>
    <t>1-hydroxyphenanthrene</t>
  </si>
  <si>
    <t>C02128</t>
  </si>
  <si>
    <t>2433-56-9</t>
  </si>
  <si>
    <t>1-hydroxypyrene</t>
  </si>
  <si>
    <t>C92408</t>
  </si>
  <si>
    <t>5315-79-7</t>
  </si>
  <si>
    <t>C78189</t>
  </si>
  <si>
    <t>Both</t>
  </si>
  <si>
    <t>1-Nitronaphthalene</t>
  </si>
  <si>
    <t>C54007</t>
  </si>
  <si>
    <t>86-57-7</t>
  </si>
  <si>
    <t>1-Nitropyrene</t>
  </si>
  <si>
    <t>C98118</t>
  </si>
  <si>
    <t>5522-43-0</t>
  </si>
  <si>
    <t>2-(tetraphen-7-yl)acetate</t>
  </si>
  <si>
    <t>C67404</t>
  </si>
  <si>
    <t>PAH</t>
  </si>
  <si>
    <t>2,3-dihydroxynaphthalene</t>
  </si>
  <si>
    <t>C21391</t>
  </si>
  <si>
    <t>92-44-4</t>
  </si>
  <si>
    <t>C19558</t>
  </si>
  <si>
    <t>C04433</t>
  </si>
  <si>
    <t>2,7-dihydroxynaphthalene</t>
  </si>
  <si>
    <t>C52846</t>
  </si>
  <si>
    <t>582-17-2</t>
  </si>
  <si>
    <t>2,8-Dinitrodibenzothiophene</t>
  </si>
  <si>
    <t>C02199</t>
  </si>
  <si>
    <t>109041-38-5</t>
  </si>
  <si>
    <t>2-acetylcarbazole</t>
  </si>
  <si>
    <t>C57288</t>
  </si>
  <si>
    <t>23592-74-7</t>
  </si>
  <si>
    <t>PAH_Heterocyclic</t>
  </si>
  <si>
    <t>2-azapyrene</t>
  </si>
  <si>
    <t>C27839</t>
  </si>
  <si>
    <t>193-98-6</t>
  </si>
  <si>
    <t>2-ethylanthraquinone</t>
  </si>
  <si>
    <t>C56127</t>
  </si>
  <si>
    <t>2-ethyl-9,10-anthraquinone</t>
  </si>
  <si>
    <t>2-hydroxyfluorene</t>
  </si>
  <si>
    <t>C81060</t>
  </si>
  <si>
    <t>2443-58-5</t>
  </si>
  <si>
    <t>2-hydroxynaphthalene</t>
  </si>
  <si>
    <t>C41862</t>
  </si>
  <si>
    <t>135-19-3</t>
  </si>
  <si>
    <t>C41976</t>
  </si>
  <si>
    <t>2-Methylbenzofuran</t>
  </si>
  <si>
    <t>C49516</t>
  </si>
  <si>
    <t xml:space="preserve">4265-25-2  </t>
  </si>
  <si>
    <t>C73966</t>
  </si>
  <si>
    <t>2-Nitroanthracene</t>
  </si>
  <si>
    <t>C12202</t>
  </si>
  <si>
    <t>3586-69-4</t>
  </si>
  <si>
    <t>2-Nitrobiphenyl</t>
  </si>
  <si>
    <t>C98980</t>
  </si>
  <si>
    <t>86-00-0</t>
  </si>
  <si>
    <t>2-Nitrodibenzothiophene</t>
  </si>
  <si>
    <t>C36273</t>
  </si>
  <si>
    <t>6639-36-7</t>
  </si>
  <si>
    <t>2-Nitrofluoranthene</t>
  </si>
  <si>
    <t>C48866</t>
  </si>
  <si>
    <t>13177-29-2</t>
  </si>
  <si>
    <t>2-Nitrofluorene</t>
  </si>
  <si>
    <t>C18252</t>
  </si>
  <si>
    <t>607-57-8</t>
  </si>
  <si>
    <t>2-Nitronaphthalene</t>
  </si>
  <si>
    <t>C39033</t>
  </si>
  <si>
    <t>581-89-5</t>
  </si>
  <si>
    <t>2-Nitropyrene</t>
  </si>
  <si>
    <t>C52586</t>
  </si>
  <si>
    <t>789-07-1</t>
  </si>
  <si>
    <t>C95415</t>
  </si>
  <si>
    <t>3,7-dinitrobenzo[k]fluoranthene</t>
  </si>
  <si>
    <t>C50633</t>
  </si>
  <si>
    <t>3-hydroxybenz[a]anthracene</t>
  </si>
  <si>
    <t>C00118</t>
  </si>
  <si>
    <t>4834-35-9</t>
  </si>
  <si>
    <t>3-hydroxybenzo[e]pyrene</t>
  </si>
  <si>
    <t>C05435</t>
  </si>
  <si>
    <t>77508-02-2</t>
  </si>
  <si>
    <t>3-hydroxyfluoranthene</t>
  </si>
  <si>
    <t>C76674</t>
  </si>
  <si>
    <t>17798-09-3</t>
  </si>
  <si>
    <t>3-hydroxyfluorene</t>
  </si>
  <si>
    <t>C50476</t>
  </si>
  <si>
    <t>6344-67-8</t>
  </si>
  <si>
    <t>3-hydroxyphenanthrene</t>
  </si>
  <si>
    <t>C03239</t>
  </si>
  <si>
    <t>605-87-8</t>
  </si>
  <si>
    <t>3-Nitrobenzanthrone</t>
  </si>
  <si>
    <t>C31188</t>
  </si>
  <si>
    <t>17117-34-9</t>
  </si>
  <si>
    <t>3-Nitrobiphenyl</t>
  </si>
  <si>
    <t>C62940</t>
  </si>
  <si>
    <t>2113-58-8</t>
  </si>
  <si>
    <t>3-Nitrodibenzofuran</t>
  </si>
  <si>
    <t>C19236</t>
  </si>
  <si>
    <t>5410-97-9</t>
  </si>
  <si>
    <t>3-nitrofluoranthene</t>
  </si>
  <si>
    <t>C42386</t>
  </si>
  <si>
    <t>892-21-7</t>
  </si>
  <si>
    <t>3-Nitrophenanthrene</t>
  </si>
  <si>
    <t>C65883</t>
  </si>
  <si>
    <t>17024-19-0</t>
  </si>
  <si>
    <t>3-oxo-3H-benzo[f]chromene-2-carbonitrile</t>
  </si>
  <si>
    <t>C65931</t>
  </si>
  <si>
    <t>4352-88-9</t>
  </si>
  <si>
    <t>4h-cyclopenta[def]phenanthren-4-one</t>
  </si>
  <si>
    <t>C94160</t>
  </si>
  <si>
    <t>4H-cyclopenta[def]phenanthre</t>
  </si>
  <si>
    <t>4H-cyclopenta[lmn]phenanthridine-5,9-dione</t>
  </si>
  <si>
    <t>C34452</t>
  </si>
  <si>
    <t>61479-80-9</t>
  </si>
  <si>
    <t>4-hydroxychrysene</t>
  </si>
  <si>
    <t>C19989</t>
  </si>
  <si>
    <t>63019-40-9</t>
  </si>
  <si>
    <t>4-hydroxyphenanthrene</t>
  </si>
  <si>
    <t>C86667</t>
  </si>
  <si>
    <t>7651-86-7</t>
  </si>
  <si>
    <t>4-Nitrobiphenyl</t>
  </si>
  <si>
    <t>C46979</t>
  </si>
  <si>
    <t>92-93-3</t>
  </si>
  <si>
    <t>4-phenanthrene carboxylic acid</t>
  </si>
  <si>
    <t>C05040</t>
  </si>
  <si>
    <t>42156-92-3</t>
  </si>
  <si>
    <t>C23425</t>
  </si>
  <si>
    <t>5,6-Benzoquinoline</t>
  </si>
  <si>
    <t>C10447</t>
  </si>
  <si>
    <t>85-02-9</t>
  </si>
  <si>
    <t>5-Nitroacenaphthalene</t>
  </si>
  <si>
    <t>C53736</t>
  </si>
  <si>
    <t>602-87-9</t>
  </si>
  <si>
    <t>5-nitroacenaphthene</t>
  </si>
  <si>
    <t>6-[naphthalen-1-yl)-2H-pyran-2-one</t>
  </si>
  <si>
    <t>C05728</t>
  </si>
  <si>
    <t>91227-09-7</t>
  </si>
  <si>
    <t>6H-benzo[cd]pyren-6-one</t>
  </si>
  <si>
    <t>C58499</t>
  </si>
  <si>
    <t>6H-benzo(cd)pyren-6-one</t>
  </si>
  <si>
    <t>6-hydroxychrysene</t>
  </si>
  <si>
    <t>C44549</t>
  </si>
  <si>
    <t>37515-51-8</t>
  </si>
  <si>
    <t>6-Methylchrysene</t>
  </si>
  <si>
    <t>C48240</t>
  </si>
  <si>
    <t>6-Nitrobenzo[a]pyrene</t>
  </si>
  <si>
    <t>C39782</t>
  </si>
  <si>
    <t>63041-90-7</t>
  </si>
  <si>
    <t>6-nitrobenzo(a)pyrene</t>
  </si>
  <si>
    <t>6-Nitrochrysene</t>
  </si>
  <si>
    <t>C93156</t>
  </si>
  <si>
    <t>7496-02-8</t>
  </si>
  <si>
    <t>6-nitrochyrsene</t>
  </si>
  <si>
    <t>7-Nitrobenz[a]anthracene</t>
  </si>
  <si>
    <t>C36266</t>
  </si>
  <si>
    <t>20268-51-3</t>
  </si>
  <si>
    <t>7-nitrobenzo[k]fluoranthene</t>
  </si>
  <si>
    <t>C56262</t>
  </si>
  <si>
    <t>8-methylquinoline</t>
  </si>
  <si>
    <t>C75659</t>
  </si>
  <si>
    <t>611-32-5</t>
  </si>
  <si>
    <t>9,10-phenanthrenequinone</t>
  </si>
  <si>
    <t>C47031</t>
  </si>
  <si>
    <t>9-aminophenanthrene</t>
  </si>
  <si>
    <t>C11824</t>
  </si>
  <si>
    <t>947-73-9</t>
  </si>
  <si>
    <t>9-anthracene carbonitrile</t>
  </si>
  <si>
    <t>C26854</t>
  </si>
  <si>
    <t>1210-12-4</t>
  </si>
  <si>
    <t>9-anthracene carboxylic acid</t>
  </si>
  <si>
    <t>C38531</t>
  </si>
  <si>
    <t>723-62-6</t>
  </si>
  <si>
    <t>9-fluorenone</t>
  </si>
  <si>
    <t>C76585</t>
  </si>
  <si>
    <t>9-hydroxyfluorene</t>
  </si>
  <si>
    <t>C34923</t>
  </si>
  <si>
    <t>1689-64-1</t>
  </si>
  <si>
    <t>9-hydroxyphenanthrene</t>
  </si>
  <si>
    <t>C71990</t>
  </si>
  <si>
    <t>484-17-3</t>
  </si>
  <si>
    <t>C45307</t>
  </si>
  <si>
    <t>9-Nitroanthracene</t>
  </si>
  <si>
    <t>C03790</t>
  </si>
  <si>
    <t>602-60-8</t>
  </si>
  <si>
    <t>9-Nitrophenanthrene</t>
  </si>
  <si>
    <t>C78256</t>
  </si>
  <si>
    <t>954-46-1</t>
  </si>
  <si>
    <t>aceanthrenequinone</t>
  </si>
  <si>
    <t>C94979</t>
  </si>
  <si>
    <t>C49201</t>
  </si>
  <si>
    <t>PAH_Parent</t>
  </si>
  <si>
    <t>acenaphthenequinone</t>
  </si>
  <si>
    <t>C64832</t>
  </si>
  <si>
    <t>C95964</t>
  </si>
  <si>
    <t>Acridine</t>
  </si>
  <si>
    <t>C85913</t>
  </si>
  <si>
    <t>260-94-6</t>
  </si>
  <si>
    <t>C16346</t>
  </si>
  <si>
    <t>anthraquinone</t>
  </si>
  <si>
    <t>C68090</t>
  </si>
  <si>
    <t>9,10-anthraquinone</t>
  </si>
  <si>
    <t>Anthrathrene</t>
  </si>
  <si>
    <t>C48962</t>
  </si>
  <si>
    <t>C11311</t>
  </si>
  <si>
    <t>7,12-benz[a]anthracenequinone</t>
  </si>
  <si>
    <t>Benz[a]anthracene</t>
  </si>
  <si>
    <t>C58898</t>
  </si>
  <si>
    <t>Benzo[a]anthracene</t>
  </si>
  <si>
    <t>Benzanthrone</t>
  </si>
  <si>
    <t>C13487</t>
  </si>
  <si>
    <t>Benzo[a]pyrene</t>
  </si>
  <si>
    <t>C43518</t>
  </si>
  <si>
    <t>Benzo[b]fluoranthene</t>
  </si>
  <si>
    <t>C35523</t>
  </si>
  <si>
    <t>Benzo[b]fluorene</t>
  </si>
  <si>
    <t>C81939</t>
  </si>
  <si>
    <t>Benzo[c]phenanthrene[1,4]dione</t>
  </si>
  <si>
    <t>C24733</t>
  </si>
  <si>
    <t>phenanthrene-1,4-dione</t>
  </si>
  <si>
    <t>Benzo[e]pyrene</t>
  </si>
  <si>
    <t>C59757</t>
  </si>
  <si>
    <t>Benz[e]pyrene</t>
  </si>
  <si>
    <t>Benzo[g,h,i]perylene</t>
  </si>
  <si>
    <t>C08875</t>
  </si>
  <si>
    <t>Benzo[ghi]perylene</t>
  </si>
  <si>
    <t>Benzo[j]fluoranthene</t>
  </si>
  <si>
    <t>C96263</t>
  </si>
  <si>
    <t>Benzo[k]fluoranthene</t>
  </si>
  <si>
    <t>C44704</t>
  </si>
  <si>
    <t>Carbazole</t>
  </si>
  <si>
    <t>C39124</t>
  </si>
  <si>
    <t>86-74-8</t>
  </si>
  <si>
    <t>C12693</t>
  </si>
  <si>
    <t>2,3-benzo-4-pyrone</t>
  </si>
  <si>
    <t>C96608</t>
  </si>
  <si>
    <t>C37871</t>
  </si>
  <si>
    <t>PAH_Parent_HMW</t>
  </si>
  <si>
    <t>Dibenz[a,c]anthracene</t>
  </si>
  <si>
    <t>C38670</t>
  </si>
  <si>
    <t>215-58-7</t>
  </si>
  <si>
    <t>Dibenz[a,h]anthracene</t>
  </si>
  <si>
    <t>C63965</t>
  </si>
  <si>
    <t>Dibenzo[a,h]pyrene</t>
  </si>
  <si>
    <t>C50658</t>
  </si>
  <si>
    <t>Dibenzo[a,i]pyrene</t>
  </si>
  <si>
    <t>C49353</t>
  </si>
  <si>
    <t>Dibenzo[a,k]fluoranthene</t>
  </si>
  <si>
    <t>C83058</t>
  </si>
  <si>
    <t>84030-79-5</t>
  </si>
  <si>
    <t>Dibenzo[a,l]pyrene</t>
  </si>
  <si>
    <t>C0022</t>
  </si>
  <si>
    <t>Dibenzo[b,k]fluoranthene</t>
  </si>
  <si>
    <t>C30123</t>
  </si>
  <si>
    <t>205-97-0</t>
  </si>
  <si>
    <t>Dibenzo[j,l]fluoranthene</t>
  </si>
  <si>
    <t>C31847</t>
  </si>
  <si>
    <t>203-18-9</t>
  </si>
  <si>
    <t>Dibenzofuran</t>
  </si>
  <si>
    <t>C95959</t>
  </si>
  <si>
    <t>132-64-9</t>
  </si>
  <si>
    <t>C08715</t>
  </si>
  <si>
    <t>Ethyl-2-(7_12-dihydroxy-6a_7_12_12a-tetrahydrotetraphen-7-yl)acetate</t>
  </si>
  <si>
    <t>C173754</t>
  </si>
  <si>
    <t>Ethyl-2-(tetraphen-7-yl)acetate</t>
  </si>
  <si>
    <t>C553074</t>
  </si>
  <si>
    <t>C90081</t>
  </si>
  <si>
    <t>C75513</t>
  </si>
  <si>
    <t>Indeno[1,2,3-c,d]pyrene</t>
  </si>
  <si>
    <t>C01623</t>
  </si>
  <si>
    <t>Indole</t>
  </si>
  <si>
    <t>C42574</t>
  </si>
  <si>
    <t>120-72-9</t>
  </si>
  <si>
    <t>C80167</t>
  </si>
  <si>
    <t>Naphtho[1,2-b]fluoranthene</t>
  </si>
  <si>
    <t>C69163</t>
  </si>
  <si>
    <t>Naphtho[2,3-b]fluoranthene</t>
  </si>
  <si>
    <t>C71077</t>
  </si>
  <si>
    <t>206-06-4</t>
  </si>
  <si>
    <t>Naphtho[2,3-e]pyrene</t>
  </si>
  <si>
    <t>C85587</t>
  </si>
  <si>
    <t>Naphtho[2,3-j]fluoranthene</t>
  </si>
  <si>
    <t>C59045</t>
  </si>
  <si>
    <t>Naphtho[2,3-k]fluoranthene</t>
  </si>
  <si>
    <t>C82375</t>
  </si>
  <si>
    <t>C55865</t>
  </si>
  <si>
    <t>C96536</t>
  </si>
  <si>
    <t>C09016</t>
  </si>
  <si>
    <t>C07065</t>
  </si>
  <si>
    <t>6217-22-7</t>
  </si>
  <si>
    <t>Quinoline</t>
  </si>
  <si>
    <t>C03001</t>
  </si>
  <si>
    <t>91-22-5</t>
  </si>
  <si>
    <t>C42503</t>
  </si>
  <si>
    <t>Tetraphen-7-yl methanol</t>
  </si>
  <si>
    <t>C659914</t>
  </si>
  <si>
    <t>16110-13-7</t>
  </si>
  <si>
    <t>Tetraphene-7-carbaldehyde</t>
  </si>
  <si>
    <t>C566411</t>
  </si>
  <si>
    <t>Thianaphthene</t>
  </si>
  <si>
    <t>C33395</t>
  </si>
  <si>
    <t xml:space="preserve">95-15-8  </t>
  </si>
  <si>
    <t>Trans-9,10-dihydroxy-9,10-dihydrophenanthrene</t>
  </si>
  <si>
    <t>C46989</t>
  </si>
  <si>
    <t>572-41-8</t>
  </si>
  <si>
    <t>C23450</t>
  </si>
  <si>
    <t>Xanthene</t>
  </si>
  <si>
    <t>C45868</t>
  </si>
  <si>
    <t>92-83-1</t>
  </si>
  <si>
    <t>C15572</t>
  </si>
  <si>
    <t>1,2-acenaphthylene</t>
  </si>
  <si>
    <t>1,3-Dimethylnaphthalene</t>
  </si>
  <si>
    <t>575-41-7</t>
  </si>
  <si>
    <t>1-Nitrotriphenylene</t>
  </si>
  <si>
    <t>81316-78-1</t>
  </si>
  <si>
    <t>2-methyl-9,10-anthraquinone</t>
  </si>
  <si>
    <t>84-54-8</t>
  </si>
  <si>
    <t>2-Nitrotriphenylene</t>
  </si>
  <si>
    <t>81316-79-2</t>
  </si>
  <si>
    <t>TX007242</t>
  </si>
  <si>
    <t>benz[e]aceanthrylene</t>
  </si>
  <si>
    <t>199-54-2</t>
  </si>
  <si>
    <t>benz[j]aceanthrylene</t>
  </si>
  <si>
    <t>202-33-5</t>
  </si>
  <si>
    <t>Picene</t>
  </si>
  <si>
    <t>Benzo[a]fluorenone</t>
  </si>
  <si>
    <t>benzo[a]pyrene-1,6-dione</t>
  </si>
  <si>
    <t>3067-13-8</t>
  </si>
  <si>
    <t>1,6-Benzo[a]pyrene quinone</t>
  </si>
  <si>
    <t>benzo[a]pyrene-3,6-dione</t>
  </si>
  <si>
    <t>3067-14-9</t>
  </si>
  <si>
    <t>Benz[c]fluorene</t>
  </si>
  <si>
    <t>Benzo[cd]pyrenone</t>
  </si>
  <si>
    <t>Dibenzo[b,j]fluoranthene</t>
  </si>
  <si>
    <t>perylene</t>
  </si>
  <si>
    <t>77392-71-3</t>
  </si>
  <si>
    <t>1-nitronaphthalene</t>
  </si>
  <si>
    <t>2-nitronaphthalene</t>
  </si>
  <si>
    <t>2-nitrobiphenyl</t>
  </si>
  <si>
    <t>3-nitrobiphenyl</t>
  </si>
  <si>
    <t>4-nitrobiphenyl</t>
  </si>
  <si>
    <t>3-nitrodibenzofuran</t>
  </si>
  <si>
    <t>2-nitrofluorene</t>
  </si>
  <si>
    <t>9-nitroanthracene</t>
  </si>
  <si>
    <t>9-nitrophenanthrene</t>
  </si>
  <si>
    <t>2-nitrodibenzothiophene</t>
  </si>
  <si>
    <t>3-nitrophenanthrene</t>
  </si>
  <si>
    <t>1-nitropyrene</t>
  </si>
  <si>
    <t>2,8-dinitrodibenzothiophene</t>
  </si>
  <si>
    <t>7-nitrobenz[a]anthracene</t>
  </si>
  <si>
    <t>3-nitrobenzanthrone</t>
  </si>
  <si>
    <t>1,3-dinitropyrene</t>
  </si>
  <si>
    <t>1,6-dinitropyrene</t>
  </si>
  <si>
    <t>1,8-dinitropyrene</t>
  </si>
  <si>
    <t>1,4-naphthoquinone</t>
  </si>
  <si>
    <t>1,4-benzoquinone</t>
  </si>
  <si>
    <t>xanthone</t>
  </si>
  <si>
    <t>perinaphthenone</t>
  </si>
  <si>
    <t>benzanthrone</t>
  </si>
  <si>
    <t>2,6-Dihydroxynaphthalene</t>
  </si>
  <si>
    <t>2-Hydroxyphenanthrene</t>
  </si>
  <si>
    <t>2-Hydroxyanthraquinone</t>
  </si>
  <si>
    <t>1-Hydroxy-9-fluorenone</t>
  </si>
  <si>
    <t>2-Hydroxy-9-fluorenone</t>
  </si>
  <si>
    <t>1,2-Dihydroxyanthraquinone</t>
  </si>
  <si>
    <t>3-Hydroxychrysene</t>
  </si>
  <si>
    <t>72-48-0</t>
  </si>
  <si>
    <t>6344-60-1</t>
  </si>
  <si>
    <t>581-43-1</t>
  </si>
  <si>
    <t>6949-73-1</t>
  </si>
  <si>
    <t>605-32-3</t>
  </si>
  <si>
    <t>605-55-0</t>
  </si>
  <si>
    <t>13345-21-6</t>
  </si>
  <si>
    <t>22717-95-9</t>
  </si>
  <si>
    <t>63019-39-6</t>
  </si>
  <si>
    <t>37994-82-4</t>
  </si>
  <si>
    <t>56892-33-2</t>
  </si>
  <si>
    <t>17573-21-6</t>
  </si>
  <si>
    <t>10-Hydroxybenzo[c]chrysene</t>
  </si>
  <si>
    <t>11-Hydroxybenzo[b]fluoranthene</t>
  </si>
  <si>
    <t>11-Hydroxybenzo[g]chrysene</t>
  </si>
  <si>
    <t>12-Hydroxybenzo[a]pyrene</t>
  </si>
  <si>
    <t>3-Hydroxybenzo[a]pyrene</t>
  </si>
  <si>
    <t>3-Hydroxybenzo[c]phenanthrene</t>
  </si>
  <si>
    <t>7-Hydroxybenzo[a]pyrene</t>
  </si>
  <si>
    <t>9-Hydroxybenzo[a]pyrene</t>
  </si>
  <si>
    <t>9-Hydroxybenzo[k]fluoranthene</t>
  </si>
  <si>
    <t>Dibenzothiophene sulfone</t>
  </si>
  <si>
    <t>2,6-dihydroxynaphthalene</t>
  </si>
  <si>
    <t>2-hydroxy-9-fluorenone</t>
  </si>
  <si>
    <t>2-nitrofluoranthene</t>
  </si>
  <si>
    <t>6-nitrochrysene</t>
  </si>
  <si>
    <t>2-nitroanthracene</t>
  </si>
  <si>
    <t>5,6-benzoquinoline</t>
  </si>
  <si>
    <t>Acenaphthenone</t>
  </si>
  <si>
    <t>2-hydroxyphenanthrene</t>
  </si>
  <si>
    <t>1,2-dihydroxyanthraquinone</t>
  </si>
  <si>
    <t>1-hydroxy-9-naphthenone</t>
  </si>
  <si>
    <t>2-hydroxyanthraquinone</t>
  </si>
  <si>
    <t>1-hydroxy-9-fluorenone</t>
  </si>
  <si>
    <t>3-hydroxychrysene</t>
  </si>
  <si>
    <t>1-hydroxyanthraquinone</t>
  </si>
  <si>
    <t>benzo(c)fluorenone</t>
  </si>
  <si>
    <t>2-methylbenzofuran</t>
  </si>
  <si>
    <t>chromone</t>
  </si>
  <si>
    <t>BMD10_TOTAL_MORT</t>
  </si>
  <si>
    <t>BMD10_ANY_EFFECT</t>
  </si>
  <si>
    <t>BMD50_TOTAL_MORT</t>
  </si>
  <si>
    <t>BMD50_ANY_EFFECT</t>
  </si>
  <si>
    <t>AUC_TOTAL_MORT</t>
  </si>
  <si>
    <t>AUC_ANY_EFFECT</t>
  </si>
  <si>
    <t>chemicalname</t>
  </si>
  <si>
    <t>casrn</t>
  </si>
  <si>
    <t>classification</t>
  </si>
  <si>
    <t>ParameterID</t>
  </si>
  <si>
    <t>anderson65method</t>
  </si>
  <si>
    <t>simonichmethod</t>
  </si>
  <si>
    <t>tanguay_tested</t>
  </si>
  <si>
    <t>anderson1500method</t>
  </si>
  <si>
    <t>zf.bottleid</t>
  </si>
  <si>
    <t>zf.cid</t>
  </si>
  <si>
    <t>pah.class</t>
  </si>
  <si>
    <t>zf.method</t>
  </si>
  <si>
    <t>zf.testlibrary</t>
  </si>
  <si>
    <t>BU_liver</t>
  </si>
  <si>
    <t>BU_adipose</t>
  </si>
  <si>
    <t>BU_mcf10a</t>
  </si>
  <si>
    <t>7</t>
  </si>
  <si>
    <t>PAH; industrial</t>
  </si>
  <si>
    <t>C78189; TX001801</t>
  </si>
  <si>
    <t>250</t>
  </si>
  <si>
    <t>Bioprinter; Liquid Handler</t>
  </si>
  <si>
    <t>PAH Screen; ToxCast Ph 1 and 2</t>
  </si>
  <si>
    <t>25</t>
  </si>
  <si>
    <t>409</t>
  </si>
  <si>
    <t>Bioprinter</t>
  </si>
  <si>
    <t>PAH Screen</t>
  </si>
  <si>
    <t>49</t>
  </si>
  <si>
    <t>694</t>
  </si>
  <si>
    <t>51</t>
  </si>
  <si>
    <t>NTP DNT 91-B4; C78256; TX001366</t>
  </si>
  <si>
    <t>947</t>
  </si>
  <si>
    <t>Bioprinter; Bioprinter; Liquid Handler</t>
  </si>
  <si>
    <t>NTP DNT Project; PAH Screen; ToxCast Ph 1 and 2</t>
  </si>
  <si>
    <t>52</t>
  </si>
  <si>
    <t>NTP DNT 91-B5; C49201; TX009851</t>
  </si>
  <si>
    <t>949</t>
  </si>
  <si>
    <t>61</t>
  </si>
  <si>
    <t>NTP DNT 91-B12; C95964; TX001370</t>
  </si>
  <si>
    <t>1031</t>
  </si>
  <si>
    <t>71</t>
  </si>
  <si>
    <t>NTP DNT 91-C2; C13487; TX007238</t>
  </si>
  <si>
    <t>1171; 1161; 1162</t>
  </si>
  <si>
    <t>72</t>
  </si>
  <si>
    <t>NTP DNT 91-C3; C43518</t>
  </si>
  <si>
    <t>1174</t>
  </si>
  <si>
    <t>Bioprinter; Bioprinter</t>
  </si>
  <si>
    <t>NTP DNT Project; PAH Screen</t>
  </si>
  <si>
    <t>73</t>
  </si>
  <si>
    <t>NTP DNT 91-C4; C35523; TX008488</t>
  </si>
  <si>
    <t>1175</t>
  </si>
  <si>
    <t>74</t>
  </si>
  <si>
    <t>NTP DNT 91-C5; C59757</t>
  </si>
  <si>
    <t>1178</t>
  </si>
  <si>
    <t>75</t>
  </si>
  <si>
    <t>NTP DNT 91-C7; C08875</t>
  </si>
  <si>
    <t>1179</t>
  </si>
  <si>
    <t>77</t>
  </si>
  <si>
    <t>NTP DNT 91-C6; C44704</t>
  </si>
  <si>
    <t>1182</t>
  </si>
  <si>
    <t>100</t>
  </si>
  <si>
    <t>NTP DNT 91-D7; C96608</t>
  </si>
  <si>
    <t>1371</t>
  </si>
  <si>
    <t>113</t>
  </si>
  <si>
    <t>dibenz[a,h]anthracene</t>
  </si>
  <si>
    <t>NTP DNT 91-E1; C63965</t>
  </si>
  <si>
    <t>1611</t>
  </si>
  <si>
    <t>133</t>
  </si>
  <si>
    <t>PAH; pharmacological</t>
  </si>
  <si>
    <t>C75513; TX006838</t>
  </si>
  <si>
    <t>1854</t>
  </si>
  <si>
    <t>134</t>
  </si>
  <si>
    <t>NTP DNT 91-E8; C01623; TX009689</t>
  </si>
  <si>
    <t>1855</t>
  </si>
  <si>
    <t>148</t>
  </si>
  <si>
    <t>NTP DNT 91-F7; C69163; TX001280</t>
  </si>
  <si>
    <t>2323</t>
  </si>
  <si>
    <t>154</t>
  </si>
  <si>
    <t>NTP DNT 91-F10; C96536; TX009691</t>
  </si>
  <si>
    <t>2635</t>
  </si>
  <si>
    <t>168</t>
  </si>
  <si>
    <t>NTP DNT 91-G2; C09016; TX010788</t>
  </si>
  <si>
    <t>2739</t>
  </si>
  <si>
    <t>197</t>
  </si>
  <si>
    <t>C50387; C42574</t>
  </si>
  <si>
    <t>1965</t>
  </si>
  <si>
    <t>PAH Screen; PAH Screen</t>
  </si>
  <si>
    <t>281</t>
  </si>
  <si>
    <t>1612</t>
  </si>
  <si>
    <t>282</t>
  </si>
  <si>
    <t>1616; 1614</t>
  </si>
  <si>
    <t>298</t>
  </si>
  <si>
    <t>447</t>
  </si>
  <si>
    <t>299</t>
  </si>
  <si>
    <t>3140</t>
  </si>
  <si>
    <t>301</t>
  </si>
  <si>
    <t>2326</t>
  </si>
  <si>
    <t>302</t>
  </si>
  <si>
    <t>2324</t>
  </si>
  <si>
    <t>304</t>
  </si>
  <si>
    <t>2328</t>
  </si>
  <si>
    <t>307</t>
  </si>
  <si>
    <t>1449</t>
  </si>
  <si>
    <t>316</t>
  </si>
  <si>
    <t>PAH; pharmacological; personalCare; industrial</t>
  </si>
  <si>
    <t>1620</t>
  </si>
  <si>
    <t>318</t>
  </si>
  <si>
    <t>404</t>
  </si>
  <si>
    <t>319</t>
  </si>
  <si>
    <t>2774</t>
  </si>
  <si>
    <t>321</t>
  </si>
  <si>
    <t>1613</t>
  </si>
  <si>
    <t>322</t>
  </si>
  <si>
    <t>2327</t>
  </si>
  <si>
    <t>332</t>
  </si>
  <si>
    <t>1030</t>
  </si>
  <si>
    <t>345</t>
  </si>
  <si>
    <t>295</t>
  </si>
  <si>
    <t>76</t>
  </si>
  <si>
    <t>1180</t>
  </si>
  <si>
    <t>775</t>
  </si>
  <si>
    <t>296</t>
  </si>
  <si>
    <t>286</t>
  </si>
  <si>
    <t>314</t>
  </si>
  <si>
    <t>66</t>
  </si>
  <si>
    <t>315</t>
  </si>
  <si>
    <t>53</t>
  </si>
  <si>
    <t>1233</t>
  </si>
  <si>
    <t>69</t>
  </si>
  <si>
    <t>1234</t>
  </si>
  <si>
    <t>60</t>
  </si>
  <si>
    <t>1235</t>
  </si>
  <si>
    <t>64</t>
  </si>
  <si>
    <t>1242</t>
  </si>
  <si>
    <t>1176</t>
  </si>
  <si>
    <t>45</t>
  </si>
  <si>
    <t>industrial</t>
  </si>
  <si>
    <t>609</t>
  </si>
  <si>
    <t>48</t>
  </si>
  <si>
    <t>667</t>
  </si>
  <si>
    <t>89</t>
  </si>
  <si>
    <t>carbazole</t>
  </si>
  <si>
    <t>1316</t>
  </si>
  <si>
    <t>115</t>
  </si>
  <si>
    <t>dibenzofuran</t>
  </si>
  <si>
    <t>Dioxins/Furans</t>
  </si>
  <si>
    <t>C95959; TX002133</t>
  </si>
  <si>
    <t>1619</t>
  </si>
  <si>
    <t>169</t>
  </si>
  <si>
    <t>quinoline</t>
  </si>
  <si>
    <t>C03001; TX002359</t>
  </si>
  <si>
    <t>2751</t>
  </si>
  <si>
    <t>283</t>
  </si>
  <si>
    <t>OPAH; industrial</t>
  </si>
  <si>
    <t>746</t>
  </si>
  <si>
    <t>284</t>
  </si>
  <si>
    <t>pestFungicide; OPAH; industrial</t>
  </si>
  <si>
    <t>747</t>
  </si>
  <si>
    <t>285</t>
  </si>
  <si>
    <t>OPAH</t>
  </si>
  <si>
    <t>628</t>
  </si>
  <si>
    <t>benz[a]anthracene-7,12-dione</t>
  </si>
  <si>
    <t>1163</t>
  </si>
  <si>
    <t>287</t>
  </si>
  <si>
    <t>1166; 71</t>
  </si>
  <si>
    <t>288</t>
  </si>
  <si>
    <t>596</t>
  </si>
  <si>
    <t>289</t>
  </si>
  <si>
    <t>6h-benzo[cd]pyren-6-one</t>
  </si>
  <si>
    <t>689</t>
  </si>
  <si>
    <t>290</t>
  </si>
  <si>
    <t>948</t>
  </si>
  <si>
    <t>292</t>
  </si>
  <si>
    <t>58</t>
  </si>
  <si>
    <t>293</t>
  </si>
  <si>
    <t>771</t>
  </si>
  <si>
    <t>294</t>
  </si>
  <si>
    <t>benzo[c]phenanthrene[1,4]dione</t>
  </si>
  <si>
    <t>1177</t>
  </si>
  <si>
    <t>309</t>
  </si>
  <si>
    <t>697</t>
  </si>
  <si>
    <t>310</t>
  </si>
  <si>
    <t>70</t>
  </si>
  <si>
    <t>311</t>
  </si>
  <si>
    <t>67</t>
  </si>
  <si>
    <t>344</t>
  </si>
  <si>
    <t>246</t>
  </si>
  <si>
    <t>1144</t>
  </si>
  <si>
    <t>251</t>
  </si>
  <si>
    <t>1145</t>
  </si>
  <si>
    <t>419</t>
  </si>
  <si>
    <t>1146</t>
  </si>
  <si>
    <t>512</t>
  </si>
  <si>
    <t>1147</t>
  </si>
  <si>
    <t>418</t>
  </si>
  <si>
    <t>1148</t>
  </si>
  <si>
    <t>776</t>
  </si>
  <si>
    <t>1149</t>
  </si>
  <si>
    <t>777</t>
  </si>
  <si>
    <t>1150</t>
  </si>
  <si>
    <t>515</t>
  </si>
  <si>
    <t>1151</t>
  </si>
  <si>
    <t>414</t>
  </si>
  <si>
    <t>1152</t>
  </si>
  <si>
    <t>514</t>
  </si>
  <si>
    <t>1153</t>
  </si>
  <si>
    <t>252</t>
  </si>
  <si>
    <t>1154</t>
  </si>
  <si>
    <t>2-nitropyrene</t>
  </si>
  <si>
    <t>420</t>
  </si>
  <si>
    <t>1155</t>
  </si>
  <si>
    <t>721</t>
  </si>
  <si>
    <t>1156</t>
  </si>
  <si>
    <t>511</t>
  </si>
  <si>
    <t>1157</t>
  </si>
  <si>
    <t>57</t>
  </si>
  <si>
    <t>1158</t>
  </si>
  <si>
    <t>6-nitrobenzo[a]pyrene</t>
  </si>
  <si>
    <t>696</t>
  </si>
  <si>
    <t>1159</t>
  </si>
  <si>
    <t>pestFungicide</t>
  </si>
  <si>
    <t>415</t>
  </si>
  <si>
    <t>1173</t>
  </si>
  <si>
    <t>dioxinsAndFurans</t>
  </si>
  <si>
    <t>513</t>
  </si>
  <si>
    <t>1460</t>
  </si>
  <si>
    <t>indole</t>
  </si>
  <si>
    <t>personalCare; industrial</t>
  </si>
  <si>
    <t>1967</t>
  </si>
  <si>
    <t>1531</t>
  </si>
  <si>
    <t/>
  </si>
  <si>
    <t>54</t>
  </si>
  <si>
    <t>1532</t>
  </si>
  <si>
    <t>56</t>
  </si>
  <si>
    <t>1533</t>
  </si>
  <si>
    <t>63</t>
  </si>
  <si>
    <t>1534</t>
  </si>
  <si>
    <t>65</t>
  </si>
  <si>
    <t>1535</t>
  </si>
  <si>
    <t>129</t>
  </si>
  <si>
    <t>1536</t>
  </si>
  <si>
    <t>1537</t>
  </si>
  <si>
    <t>247</t>
  </si>
  <si>
    <t>1538</t>
  </si>
  <si>
    <t>C92408; TX010540</t>
  </si>
  <si>
    <t>248</t>
  </si>
  <si>
    <t>1539</t>
  </si>
  <si>
    <t>1540</t>
  </si>
  <si>
    <t>1541</t>
  </si>
  <si>
    <t>297</t>
  </si>
  <si>
    <t>1542</t>
  </si>
  <si>
    <t>381</t>
  </si>
  <si>
    <t>1543</t>
  </si>
  <si>
    <t>1544</t>
  </si>
  <si>
    <t>C41862; TX003890</t>
  </si>
  <si>
    <t>412</t>
  </si>
  <si>
    <t>1545</t>
  </si>
  <si>
    <t>406</t>
  </si>
  <si>
    <t>1546</t>
  </si>
  <si>
    <t>416</t>
  </si>
  <si>
    <t>1547</t>
  </si>
  <si>
    <t>417</t>
  </si>
  <si>
    <t>1548</t>
  </si>
  <si>
    <t>500</t>
  </si>
  <si>
    <t>1549</t>
  </si>
  <si>
    <t>501</t>
  </si>
  <si>
    <t>1550</t>
  </si>
  <si>
    <t>502</t>
  </si>
  <si>
    <t>1551</t>
  </si>
  <si>
    <t>C76674; TX011627</t>
  </si>
  <si>
    <t>503</t>
  </si>
  <si>
    <t>1552</t>
  </si>
  <si>
    <t>504</t>
  </si>
  <si>
    <t>1553</t>
  </si>
  <si>
    <t>601</t>
  </si>
  <si>
    <t>1554</t>
  </si>
  <si>
    <t>602</t>
  </si>
  <si>
    <t>1555</t>
  </si>
  <si>
    <t>629</t>
  </si>
  <si>
    <t>1556</t>
  </si>
  <si>
    <t>691</t>
  </si>
  <si>
    <t>1557</t>
  </si>
  <si>
    <t>741</t>
  </si>
  <si>
    <t>1558</t>
  </si>
  <si>
    <t>1559</t>
  </si>
  <si>
    <t>C76585; TX012603</t>
  </si>
  <si>
    <t>778</t>
  </si>
  <si>
    <t>1560</t>
  </si>
  <si>
    <t>946</t>
  </si>
  <si>
    <t>1561</t>
  </si>
  <si>
    <t>acridine</t>
  </si>
  <si>
    <t>965</t>
  </si>
  <si>
    <t>1562</t>
  </si>
  <si>
    <t>1370</t>
  </si>
  <si>
    <t>1563</t>
  </si>
  <si>
    <t>dibenz[a,c]anthracene</t>
  </si>
  <si>
    <t>NTP DNT 91-E2; C38670</t>
  </si>
  <si>
    <t>1610</t>
  </si>
  <si>
    <t>1564</t>
  </si>
  <si>
    <t>dibenzo[a,k]fluoranthene</t>
  </si>
  <si>
    <t>1615</t>
  </si>
  <si>
    <t>1565</t>
  </si>
  <si>
    <t>dibenzo[b,k]fluoranthene</t>
  </si>
  <si>
    <t>1617</t>
  </si>
  <si>
    <t>1566</t>
  </si>
  <si>
    <t>dibenzo[j,l]fluoranthene</t>
  </si>
  <si>
    <t>1618</t>
  </si>
  <si>
    <t>1567</t>
  </si>
  <si>
    <t>naphtho[2,3-b]fluoranthene</t>
  </si>
  <si>
    <t>2325</t>
  </si>
  <si>
    <t>1568</t>
  </si>
  <si>
    <t>2601</t>
  </si>
  <si>
    <t>1569</t>
  </si>
  <si>
    <t>thianaphthene</t>
  </si>
  <si>
    <t>3015</t>
  </si>
  <si>
    <t>1570</t>
  </si>
  <si>
    <t>xanthene</t>
  </si>
  <si>
    <t>3272</t>
  </si>
  <si>
    <t>1571</t>
  </si>
  <si>
    <t>3273</t>
  </si>
  <si>
    <t>62</t>
  </si>
  <si>
    <t>1598</t>
  </si>
  <si>
    <t>1599</t>
  </si>
  <si>
    <t>11-h-benzo[b]fluoren-11-one</t>
  </si>
  <si>
    <t>155</t>
  </si>
  <si>
    <t>1600</t>
  </si>
  <si>
    <t>1-aminopyrene</t>
  </si>
  <si>
    <t>227</t>
  </si>
  <si>
    <t>1601</t>
  </si>
  <si>
    <t>2-[tetraphen-7-yl]acetate</t>
  </si>
  <si>
    <t>NOCAS_0001</t>
  </si>
  <si>
    <t>3413</t>
  </si>
  <si>
    <t>1602</t>
  </si>
  <si>
    <t>360</t>
  </si>
  <si>
    <t>1603</t>
  </si>
  <si>
    <t>365</t>
  </si>
  <si>
    <t>1604</t>
  </si>
  <si>
    <t>NOCAS_0002</t>
  </si>
  <si>
    <t>448</t>
  </si>
  <si>
    <t>1605</t>
  </si>
  <si>
    <t>3-oxo-3h-benzo[f]chromene-2-carbonitrile</t>
  </si>
  <si>
    <t>517</t>
  </si>
  <si>
    <t>1606</t>
  </si>
  <si>
    <t>4h-cyclopenta[lmn]phenanthridine-5,9-dione</t>
  </si>
  <si>
    <t>597</t>
  </si>
  <si>
    <t>1607</t>
  </si>
  <si>
    <t>618</t>
  </si>
  <si>
    <t>1608</t>
  </si>
  <si>
    <t>6-[naphthalen-1-yl]-2h-pyran-2-one</t>
  </si>
  <si>
    <t>674</t>
  </si>
  <si>
    <t>1609</t>
  </si>
  <si>
    <t>NOCAS_0003</t>
  </si>
  <si>
    <t>722</t>
  </si>
  <si>
    <t>768</t>
  </si>
  <si>
    <t>769</t>
  </si>
  <si>
    <t>770</t>
  </si>
  <si>
    <t>ethyl-2-[7_12-dihydroxy-6a_7_12_12a-tetrahydrotetraphen-7-yl]acetate</t>
  </si>
  <si>
    <t>NOCAS_0004</t>
  </si>
  <si>
    <t>3411</t>
  </si>
  <si>
    <t>1614</t>
  </si>
  <si>
    <t>ethyl-2-[tetraphen-7-yl]acetate</t>
  </si>
  <si>
    <t>NOCAS_0005</t>
  </si>
  <si>
    <t>3412</t>
  </si>
  <si>
    <t>pyrene-4,5-dione</t>
  </si>
  <si>
    <t>2740</t>
  </si>
  <si>
    <t>1616</t>
  </si>
  <si>
    <t>tetraphen-7-yl methanol</t>
  </si>
  <si>
    <t>3409</t>
  </si>
  <si>
    <t>tetraphene-7-carbaldehyde</t>
  </si>
  <si>
    <t>NOCAS_0006</t>
  </si>
  <si>
    <t>3408</t>
  </si>
  <si>
    <t>trans-9,10-dihydroxy-9,10-dihydrophenanthrene</t>
  </si>
  <si>
    <t>3091</t>
  </si>
  <si>
    <t>8</t>
  </si>
  <si>
    <t>114</t>
  </si>
  <si>
    <t>306</t>
  </si>
  <si>
    <t>312</t>
  </si>
  <si>
    <t>317</t>
  </si>
  <si>
    <t>320</t>
  </si>
  <si>
    <t>333</t>
  </si>
  <si>
    <t>720</t>
  </si>
  <si>
    <t>379</t>
  </si>
  <si>
    <t>1572</t>
  </si>
  <si>
    <t>1,3-dimethylnaphthalene</t>
  </si>
  <si>
    <t>50</t>
  </si>
  <si>
    <t>702</t>
  </si>
  <si>
    <t>Liquid Handler</t>
  </si>
  <si>
    <t>ToxCast Ph 1 and 2</t>
  </si>
  <si>
    <t>300</t>
  </si>
  <si>
    <t>303</t>
  </si>
  <si>
    <t>305</t>
  </si>
  <si>
    <t>1236</t>
  </si>
  <si>
    <t>1237</t>
  </si>
  <si>
    <t>1240</t>
  </si>
  <si>
    <t>1241</t>
  </si>
  <si>
    <t>1172</t>
  </si>
  <si>
    <t>6</t>
  </si>
  <si>
    <t>308</t>
  </si>
  <si>
    <t>benzo[a]fluorenone</t>
  </si>
  <si>
    <t>1142</t>
  </si>
  <si>
    <t>1,6-benzo[a]pyrene-quinone</t>
  </si>
  <si>
    <t>1573</t>
  </si>
  <si>
    <t>1574</t>
  </si>
  <si>
    <t>1575</t>
  </si>
  <si>
    <t>NOCAS_0007</t>
  </si>
  <si>
    <t>1576</t>
  </si>
  <si>
    <t>1577</t>
  </si>
  <si>
    <t>1-nitrotriphenylene</t>
  </si>
  <si>
    <t>1578</t>
  </si>
  <si>
    <t>2-nitrotriphenylene</t>
  </si>
  <si>
    <t>1579</t>
  </si>
  <si>
    <t>1580</t>
  </si>
  <si>
    <t>benzo[cd]pyrenone</t>
  </si>
  <si>
    <t>NOCAS_0008</t>
  </si>
  <si>
    <t>1581</t>
  </si>
  <si>
    <t>dibenzo[b,j]fluoranthene</t>
  </si>
  <si>
    <t>1582</t>
  </si>
  <si>
    <t>1583</t>
  </si>
  <si>
    <t>10-hydroxybenzo[c]chrysene</t>
  </si>
  <si>
    <t>NOCAS_0009</t>
  </si>
  <si>
    <t>1584</t>
  </si>
  <si>
    <t>11-hydroxybenzo[b]fluoranthene</t>
  </si>
  <si>
    <t>NOCAS_0010</t>
  </si>
  <si>
    <t>1585</t>
  </si>
  <si>
    <t>11-hydroxybenzo[g]chrysene</t>
  </si>
  <si>
    <t>NOCAS_0011</t>
  </si>
  <si>
    <t>1586</t>
  </si>
  <si>
    <t>12-hydroxybenzo[a]pyrene</t>
  </si>
  <si>
    <t>178</t>
  </si>
  <si>
    <t>1587</t>
  </si>
  <si>
    <t>244</t>
  </si>
  <si>
    <t>1588</t>
  </si>
  <si>
    <t>1589</t>
  </si>
  <si>
    <t>389</t>
  </si>
  <si>
    <t>1590</t>
  </si>
  <si>
    <t>390</t>
  </si>
  <si>
    <t>1591</t>
  </si>
  <si>
    <t>1592</t>
  </si>
  <si>
    <t>3-hydroxybenzo[a]pyrene</t>
  </si>
  <si>
    <t>1593</t>
  </si>
  <si>
    <t>3-hydroxybenzo[c]phenanthrene</t>
  </si>
  <si>
    <t>1594</t>
  </si>
  <si>
    <t>1595</t>
  </si>
  <si>
    <t>7-hydroxybenzo[a]pyrene</t>
  </si>
  <si>
    <t>1596</t>
  </si>
  <si>
    <t>9-hydroxybenzo[a]pyrene</t>
  </si>
  <si>
    <t>773</t>
  </si>
  <si>
    <t>1597</t>
  </si>
  <si>
    <t>9-hydroxybenzo[k]fluoranthene</t>
  </si>
  <si>
    <t>NOCAS_0013</t>
  </si>
  <si>
    <t>PH09_CRD_9/1/09_A090001_A090002_1427</t>
  </si>
  <si>
    <t>PH09_CRU_9/1/09_A090003_A090004_1429</t>
  </si>
  <si>
    <t>PH09_RM 3E_9/1/09_A090005_A090006_A_2797</t>
  </si>
  <si>
    <t>PH09_RM 3.5W_9/1/09_A090007_A090008_2795</t>
  </si>
  <si>
    <t>PH09_RM 6.5W_9/1/09_A090009_A090010_2799</t>
  </si>
  <si>
    <t>PH09_RM 8W_9/1/09_A090011_A090012_A_2809</t>
  </si>
  <si>
    <t>PH09_RM 7E_9/1/09_A090013_A090014_2803</t>
  </si>
  <si>
    <t>PH09_RM 7W_9/1/09_A090017_A090020_2806</t>
  </si>
  <si>
    <t>PH09_RM 7W_9/1/09_A090018_A090021_2806</t>
  </si>
  <si>
    <t>PH09_RM 7W_9/1/09_A090019_A090023_2806</t>
  </si>
  <si>
    <t>PH09_RM 7W_9/1/09_A090019_A090024_A_2806</t>
  </si>
  <si>
    <t>PH09_RM 12E_9/1/09_A090025_A090026_2793</t>
  </si>
  <si>
    <t>PH09_CRD_10/1/09_A090057_A090058_1456</t>
  </si>
  <si>
    <t>PH09_CRU_10/1/09_A090059_A090060_1458</t>
  </si>
  <si>
    <t>PH09_RM 3E_10/1/09_A090061_A090062_2805</t>
  </si>
  <si>
    <t>PH09_RM 3.5W_10/1/09_A090063_A090064_2794</t>
  </si>
  <si>
    <t>PH09_RM 6.5W_10/1/09_A090065_A090066_2800</t>
  </si>
  <si>
    <t>PH09_RM 8W_10/1/09_A090067_A090068_B_2808</t>
  </si>
  <si>
    <t>PH09_RM 7E_10/1/09_A090069_A090070_2802</t>
  </si>
  <si>
    <t>PH09_RM 7W_10/1/09_A090071_A090076_2805</t>
  </si>
  <si>
    <t>PH09_RM 7W_10/1/09_A090072_A090077_2805</t>
  </si>
  <si>
    <t>PH09_RM 7W_10/1/09_A090073_A090078_B_2805</t>
  </si>
  <si>
    <t>PH09_RM 7W_10/1/09_A090074_A090079_2805</t>
  </si>
  <si>
    <t>PH09_RM 7W_10/1/09_A090075_A090080_2805</t>
  </si>
  <si>
    <t>PH09_RM 12E_10/1/09_A090081_A090082_2791</t>
  </si>
  <si>
    <t>PH10_CRD_7/1/10_10JUL29-01-001_10JUL29-01-014_1426</t>
  </si>
  <si>
    <t>PH10_CRU_7/1/10_10JUL29-01-002_10JUL29-01-015_1428</t>
  </si>
  <si>
    <t>PH10_RM3E_7/1/10_10JUL29-01-003_10JUL29-01-016_177</t>
  </si>
  <si>
    <t>PH10_RM3.5W_7/1/10_10JUL29-01-004_10JUL29-01-017_452</t>
  </si>
  <si>
    <t>PH10_RM6.5E_7/1/10_10JUL29-01-005_10JUL29-01-018_B_669</t>
  </si>
  <si>
    <t>PH10_RM7E_7/1/10_10JUL29-01-006_10JUL29-01-019_719</t>
  </si>
  <si>
    <t>PH10_RM7W_7/1/10_10JUL29-01-007_10JUL29-01-020_723</t>
  </si>
  <si>
    <t>PH10_RM8W_7/1/10_10JUL29-01-012_10JUL29-01-021_744</t>
  </si>
  <si>
    <t>PH10_RM12E_7/1/10_10JUL29-01-013_10JUL29-01-022_177</t>
  </si>
  <si>
    <t>PH10_CRD_8/1/10_10SEP02-01-001_10SEP02-01-012_1431</t>
  </si>
  <si>
    <t>PH10_CRU_8/1/10_10SEP02-01-002_10SEP02-01-015_1431</t>
  </si>
  <si>
    <t>PH10_RM3E_8/1/10_10SEP02-01-003_10SEP02-01-016_A_2798</t>
  </si>
  <si>
    <t>PH10_RM3.5W_8/1/10_10SEP02-01-004_10SEP02-01-017_2796</t>
  </si>
  <si>
    <t>PH10_RM7E_8/1/10_10SEP02-01-005_10SEP02-01-018_2804</t>
  </si>
  <si>
    <t>PH10_RM7W_8/1/10_10SEP02-01-006_10SEP02-01-019_2807</t>
  </si>
  <si>
    <t>PH10_RM8W_8/1/10_10SEP02-01-013_10SEP02-01-020_2810</t>
  </si>
  <si>
    <t>PH10_RM12E_8/1/10_10SEP02-01-014_10SEP02-01-021_2792</t>
  </si>
  <si>
    <t>PH10_CRD_9/1/10_10SEP30-01-001_10SEP30-01-012_1431</t>
  </si>
  <si>
    <t>PH10_CRU_9/1/10_10SEP30-01-002_10SEP30-01-015_1432</t>
  </si>
  <si>
    <t>PH10_RM3E_9/1/10_10SEP30-01-003_10SEP30-01-016_2798</t>
  </si>
  <si>
    <t>PH10_RM3.5W_9/1/10_10SEP30-01-004_10SEP30-01-017_2796</t>
  </si>
  <si>
    <t>PH10_RM6.5W_9/1/10_10SEP30-01-039_10SEP30-01-019_2801</t>
  </si>
  <si>
    <t>PH10_RM7E_9/1/10_10SEP30-01-005_10SEP30-01-018_2804</t>
  </si>
  <si>
    <t>PH10_RM8W_9/1/10_10SEP30-01-013_10SEP30-01-020_2810</t>
  </si>
  <si>
    <t>PH10_CRD_10/1/10_10OCT28-01-001_10OCT28-01-012_1431</t>
  </si>
  <si>
    <t>PH10_CRU_10/1/10_10OCT28-01-002_10OCT28-01-015_1432</t>
  </si>
  <si>
    <t>PH10_RM3E_10/1/10_10OCT28-01-003_10OCT28-01-016_2798</t>
  </si>
  <si>
    <t>PH10_RM3.5W_10/1/10_10OCT28-01-004_10OCT28-01-017_2796</t>
  </si>
  <si>
    <t>PH10_RM7E_10/1/10_10OCT28-01-005_10OCT28-01-018_2804</t>
  </si>
  <si>
    <t>PH10_RM7W_10/1/10_10OCT28-01-006_10OCT28-01-019_2807</t>
  </si>
  <si>
    <t>PH10_RM8W_10/1/10_10OCT28-01-013_10OCT28-01-020_2810</t>
  </si>
  <si>
    <t>PH10_RM12E_10/1/10_10OCT28-01-014_10OCT28-01-021_2792</t>
  </si>
  <si>
    <t>RDWH10-001_10MAY17-01-001_10MAY17-01-009_1841</t>
  </si>
  <si>
    <t>RDWH10-007_10MAY17-01-003_10MAY17-01-011_1004</t>
  </si>
  <si>
    <t>RDWH10-009_10MAY17-01-005_10MAY17-01-013_2235</t>
  </si>
  <si>
    <t>RDWH10-013_10MAY17-01-007_10MAY17-01-015_2066</t>
  </si>
  <si>
    <t>RDWH10-023_10JUN13-01-001_10JUN13-01-009_1841</t>
  </si>
  <si>
    <t>RDWH10-024_10JUN13-01-003_10JUN13-01-011_1004</t>
  </si>
  <si>
    <t>RDWH10-025_10JUN13-01-005_10JUN13-01-013_2235</t>
  </si>
  <si>
    <t>RDWH10-026_10JUN13-01-007_10JUN13-01-015_2066</t>
  </si>
  <si>
    <t>DWH10-045_10JUL11-01-001_10JUL11-01-009_1841</t>
  </si>
  <si>
    <t>DWH10-046_10JUL11-01-003_10JUL11-01-011_1004</t>
  </si>
  <si>
    <t>DWH10-047_10JUL11-01-005_10JUL11-01-013_2235</t>
  </si>
  <si>
    <t>DWH10-048_10JUL11-01-007_10JUL11-01-015_2066</t>
  </si>
  <si>
    <t>RDWH10-066_10AUG09-01-003_10AUG09-01-011_1004</t>
  </si>
  <si>
    <t>RDWH10-067_10AUG09-01-005_10AUG09-01-013_2235</t>
  </si>
  <si>
    <t>RDWH10-081_10SEP11-01-001_10SEP11-01-009_1431</t>
  </si>
  <si>
    <t>RDWH10-082_10SEP11-01-003_10SEP11-01-011_1004</t>
  </si>
  <si>
    <t>RDWH10-083_10SEP11-01-005_10SEP11-01-013_2235</t>
  </si>
  <si>
    <t>RDWH10-084_10SEP11-01-007_10SEP11-01-015_2066</t>
  </si>
  <si>
    <t>10OCT-03-001_10OCT18-03-001_10OCT18-03-005_1865</t>
  </si>
  <si>
    <t>10OCT-03-004_10OCT18-03-004_10OCT18-03-008_2072</t>
  </si>
  <si>
    <t>A110067_A110067_A110071_2071</t>
  </si>
  <si>
    <t>A110069_A110069_A110073_1008</t>
  </si>
  <si>
    <t>A110070_A110070_A110074_1864</t>
  </si>
  <si>
    <t>A110141_A110141_A110145_2072</t>
  </si>
  <si>
    <t>A110143_A110143_A110147_1009</t>
  </si>
  <si>
    <t>A110286_A110286_A110290_2071</t>
  </si>
  <si>
    <t>A110287_A110287_A110291_2236</t>
  </si>
  <si>
    <t>A110288_A110288_A110292_1008</t>
  </si>
  <si>
    <t>A110289_A110289_A110293_1864</t>
  </si>
  <si>
    <t>PH13_RM 18.5_10/17/13_A130475_P15932_792</t>
  </si>
  <si>
    <t>PH13_RM 12E_10/17/13_A130485_P21442_793</t>
  </si>
  <si>
    <t>PH13_RM 6.5W_10/17/13_A130502_P14182_794</t>
  </si>
  <si>
    <t>PH13_RM1NW_10/17/13_A130512_P26408_795</t>
  </si>
  <si>
    <t>PH13_RM11E_10/17/13_A130527_P61398_796</t>
  </si>
  <si>
    <t>PH14_RM 1NW_09/17/14_A140383_P99596_797</t>
  </si>
  <si>
    <t>PH14_RM 3.5W_09/17/14_A140384_P84353_798</t>
  </si>
  <si>
    <t>PH14_RM 11E_09/17/14_A140385_P69352_799</t>
  </si>
  <si>
    <t>PH14_RM 18.5_09/17/14_A140386_P64678_800</t>
  </si>
  <si>
    <t>F2 soil_Pre-SEE soil_C11659_C11659</t>
  </si>
  <si>
    <t>F2 soil_Post-SEE soil_C92695_C92695</t>
  </si>
  <si>
    <t>F2 Effluent_C415033_C415033_3322</t>
  </si>
  <si>
    <t>F2 leachate_Pre-SEE leachate_C106563_C106563_3324</t>
  </si>
  <si>
    <t>F2 leachate_Post-SEE leachate_C189231_C189231_3325</t>
  </si>
  <si>
    <t>F2 leachate_Pre-SEE soil_C94581_C94581</t>
  </si>
  <si>
    <t>F2 leachate_Post-SEE soil_C28045_C28045</t>
  </si>
  <si>
    <t>F3 Effluent_C20559_C20559_3326</t>
  </si>
  <si>
    <t>F3 Leachate_Pre-SEE leachate_C564451_C564451_3331</t>
  </si>
  <si>
    <t>F3 Leachate_Post-SEE leachate_C302146_C302146_3330</t>
  </si>
  <si>
    <t>AS A_C27391_C27391_1035</t>
  </si>
  <si>
    <t>AS B_C79877_C79877_1036</t>
  </si>
  <si>
    <t>AS C_C22472_C22472_1037</t>
  </si>
  <si>
    <t>AS D_C39886_C39886_1038</t>
  </si>
  <si>
    <t>CT-2 A_C85418_C85418_1518</t>
  </si>
  <si>
    <t>CT-2 B_C67584_C67584_1519</t>
  </si>
  <si>
    <t>CT-2 C_C02470_C02470_1520</t>
  </si>
  <si>
    <t>CT-2 D_C08657_C08657_1521</t>
  </si>
  <si>
    <t>CT-1 A_C58694_C58694_1514</t>
  </si>
  <si>
    <t>CT-1 B_C31199_C31199_1515</t>
  </si>
  <si>
    <t>CT-1 C_C49039_C49039_1516</t>
  </si>
  <si>
    <t>CT-1 D_C57488_C57488_1517</t>
  </si>
  <si>
    <t>1.6 h A_C51699_C51699_101</t>
  </si>
  <si>
    <t>1.6 h B_C70813_C70813_102</t>
  </si>
  <si>
    <t>1.6 h C_C85449_C85449_103</t>
  </si>
  <si>
    <t>1.6 h D_C41900_C41900_-</t>
  </si>
  <si>
    <t>1 d A_C10801_C10801_-</t>
  </si>
  <si>
    <t>1 d B_C39771_C39771_-</t>
  </si>
  <si>
    <t>1 d C_C42435_C42435_-</t>
  </si>
  <si>
    <t>1 d D_C60509_C60509_-</t>
  </si>
  <si>
    <t>45 d A_C26169_C26169_-</t>
  </si>
  <si>
    <t>45 d B_C22108_C22108_-</t>
  </si>
  <si>
    <t>45 d C_C45330_C45330_-</t>
  </si>
  <si>
    <t>45 d D_C27243_C27243_-</t>
  </si>
  <si>
    <t>149 d A_C83043_C83043_-</t>
  </si>
  <si>
    <t>149 d B_C67977_C67977_-</t>
  </si>
  <si>
    <t>149 d C_C77429_C77429_-</t>
  </si>
  <si>
    <t>149 d D_C72683_C72683_-</t>
  </si>
  <si>
    <t xml:space="preserve">  </t>
  </si>
  <si>
    <t>DTT50
(uM)</t>
  </si>
  <si>
    <t>1-2-dihydroxynaphthalene</t>
  </si>
  <si>
    <t>1-4-dihydroxyanthraquinone</t>
  </si>
  <si>
    <t>1-8-dihydroxyanthraquinone</t>
  </si>
  <si>
    <t>1-9-dihydroxyphenanthrene</t>
  </si>
  <si>
    <t>2-6-dihydroxyanthraquinone</t>
  </si>
  <si>
    <t>naphtho(1-2-k)fluoranthene</t>
  </si>
  <si>
    <t>only found in DTT assay results</t>
  </si>
  <si>
    <t xml:space="preserve">co-occuring compounds </t>
  </si>
  <si>
    <t>Global 14</t>
  </si>
  <si>
    <t>RfC (mg/m3)</t>
  </si>
  <si>
    <t>RfD (mg/kg-day)</t>
  </si>
  <si>
    <t>Unit Risk (ug/m^3)</t>
  </si>
  <si>
    <t>CPV</t>
  </si>
  <si>
    <t xml:space="preserve">Oral Slope Factor </t>
  </si>
  <si>
    <t>RPF</t>
  </si>
  <si>
    <t>RfC = continuous lifetime exposure NOEL</t>
  </si>
  <si>
    <t>RfD = oral dose over lifetime</t>
  </si>
  <si>
    <t xml:space="preserve">CPV =cancer potency value </t>
  </si>
  <si>
    <t xml:space="preserve">OSF = oral slope factor </t>
  </si>
  <si>
    <t xml:space="preserve">chemicals that appear across SRP labs </t>
  </si>
  <si>
    <t xml:space="preserve">Benchmark Dose Zebrafish </t>
  </si>
  <si>
    <t xml:space="preserve">oxidative potential of chemicals (DTT) </t>
  </si>
  <si>
    <t xml:space="preserve">toxicity units collected from publically available databases </t>
  </si>
  <si>
    <t>Portland Harbor 2009</t>
  </si>
  <si>
    <t>Portland Harbor 2010</t>
  </si>
  <si>
    <t xml:space="preserve">Supermix  </t>
  </si>
  <si>
    <t xml:space="preserve">Thermal Remediation </t>
  </si>
  <si>
    <t xml:space="preserve">Seal Coat </t>
  </si>
  <si>
    <t>F17-15 A170767(1) 12-air</t>
  </si>
  <si>
    <t>F17-15 A170768(1) 3-air</t>
  </si>
  <si>
    <t>F17-15 A170771(1) Cove 1_R1-air</t>
  </si>
  <si>
    <t xml:space="preserve">F17-15 A170772(1) Cove 1_R2-air </t>
  </si>
  <si>
    <t>F17-15 A170773(1) Cove 3_R3-air</t>
  </si>
  <si>
    <t>Creosote Site/Forest Fire 2017</t>
  </si>
  <si>
    <t>Wildfire Representative Mixture 100x</t>
  </si>
  <si>
    <t>Unconventional Natural Gas Mixture 100x</t>
  </si>
  <si>
    <t>Creosote Site/Forest Fire Representative Mixture 2017</t>
  </si>
  <si>
    <t xml:space="preserve">Unconventional Natural Gas Representative Mixture </t>
  </si>
  <si>
    <t>Average Concentration  (mmol/m^3)</t>
  </si>
  <si>
    <t>Average Concentration (Rank)</t>
  </si>
  <si>
    <t>Scaled RfC Rank</t>
  </si>
  <si>
    <t>Scaled RfD Rank</t>
  </si>
  <si>
    <t>Scaled Unit Risk Rank</t>
  </si>
  <si>
    <t>Scaled CPV Rank</t>
  </si>
  <si>
    <t>Scaled OSF Rank</t>
  </si>
  <si>
    <t>Scaled ZF Rank</t>
  </si>
  <si>
    <t>Scaled RfC (mg/m3)</t>
  </si>
  <si>
    <t>Scaled RfD (mg/kg-day)</t>
  </si>
  <si>
    <t>Scaled Unit Risk (ug/m^3)</t>
  </si>
  <si>
    <t>Scaled CPV</t>
  </si>
  <si>
    <t xml:space="preserve">Scaled Oral Slope Factor </t>
  </si>
  <si>
    <t>Scaled ZF (BMD50)</t>
  </si>
  <si>
    <t>Scaled Unit Risk (ug/m^3) - predicted</t>
  </si>
  <si>
    <t xml:space="preserve">2-methylnaphthalene* </t>
  </si>
  <si>
    <t>fluoranthene*</t>
  </si>
  <si>
    <t xml:space="preserve">dibenzothiophene* </t>
  </si>
  <si>
    <t>BMD10 TOTAL_MORT</t>
  </si>
  <si>
    <t>BMD10 ANY_EFFECT</t>
  </si>
  <si>
    <t>BMD50 TOTAL_MORT</t>
  </si>
  <si>
    <t>BMD50 ANY_EFFECT</t>
  </si>
  <si>
    <t>AUC TOTAL_MORT</t>
  </si>
  <si>
    <t>AUC ANY_EFFECT</t>
  </si>
  <si>
    <t>RpF</t>
  </si>
  <si>
    <t>1</t>
  </si>
  <si>
    <t>1,2,4-trichlorobenzene</t>
  </si>
  <si>
    <t>120-82-1</t>
  </si>
  <si>
    <t>Insecticide</t>
  </si>
  <si>
    <t>TX009437</t>
  </si>
  <si>
    <t>167</t>
  </si>
  <si>
    <t>2</t>
  </si>
  <si>
    <t>1,2-dibromo-3-chloropropane</t>
  </si>
  <si>
    <t>96-12-8</t>
  </si>
  <si>
    <t>pestFungicide; pestInsecticide</t>
  </si>
  <si>
    <t>3</t>
  </si>
  <si>
    <t>o-dichlorobenzene</t>
  </si>
  <si>
    <t>95-50-1</t>
  </si>
  <si>
    <t>Herbicide</t>
  </si>
  <si>
    <t>TX002092</t>
  </si>
  <si>
    <t>172</t>
  </si>
  <si>
    <t>4</t>
  </si>
  <si>
    <t>1,3-dichlorobenzene</t>
  </si>
  <si>
    <t>541-73-1</t>
  </si>
  <si>
    <t>TX001069</t>
  </si>
  <si>
    <t>192</t>
  </si>
  <si>
    <t>5</t>
  </si>
  <si>
    <t>p-dichlorobenzene</t>
  </si>
  <si>
    <t>106-46-7</t>
  </si>
  <si>
    <t>Fungicide</t>
  </si>
  <si>
    <t>TX001686</t>
  </si>
  <si>
    <t>203</t>
  </si>
  <si>
    <t>9</t>
  </si>
  <si>
    <t>1-naphthylamine</t>
  </si>
  <si>
    <t>134-32-7</t>
  </si>
  <si>
    <t>10</t>
  </si>
  <si>
    <t>pcb 201</t>
  </si>
  <si>
    <t>40186-71-8</t>
  </si>
  <si>
    <t>PCB</t>
  </si>
  <si>
    <t>11</t>
  </si>
  <si>
    <t>pcb 98</t>
  </si>
  <si>
    <t>60233-25-2</t>
  </si>
  <si>
    <t>12</t>
  </si>
  <si>
    <t>2,3,4,6-tetrachlorophenol</t>
  </si>
  <si>
    <t>58-90-2</t>
  </si>
  <si>
    <t>pestFungicide; industrial; pulpAndPaper; phenol</t>
  </si>
  <si>
    <t>13</t>
  </si>
  <si>
    <t>2,3,4,7,8-pecdf</t>
  </si>
  <si>
    <t>57117-31-4</t>
  </si>
  <si>
    <t>14</t>
  </si>
  <si>
    <t>2,3,7,8-tcdd</t>
  </si>
  <si>
    <t>1746-01-6</t>
  </si>
  <si>
    <t>NTP DNT 91-A3</t>
  </si>
  <si>
    <t>NTP DNT Project</t>
  </si>
  <si>
    <t>15</t>
  </si>
  <si>
    <t>2,4,5-trichlorophenol</t>
  </si>
  <si>
    <t>95-95-4</t>
  </si>
  <si>
    <t>TX005197</t>
  </si>
  <si>
    <t>329</t>
  </si>
  <si>
    <t>16</t>
  </si>
  <si>
    <t>2,4,5-trimethylaniline</t>
  </si>
  <si>
    <t>137-17-7</t>
  </si>
  <si>
    <t>industrial; aniline</t>
  </si>
  <si>
    <t>17</t>
  </si>
  <si>
    <t>2,4,6-trichlorophenol</t>
  </si>
  <si>
    <t>88-06-2</t>
  </si>
  <si>
    <t>TX005237</t>
  </si>
  <si>
    <t>330</t>
  </si>
  <si>
    <t>18</t>
  </si>
  <si>
    <t>2,4-dichlorophenol</t>
  </si>
  <si>
    <t>120-83-2</t>
  </si>
  <si>
    <t>TX001913</t>
  </si>
  <si>
    <t>338</t>
  </si>
  <si>
    <t>19</t>
  </si>
  <si>
    <t>2,4-dimethylphenol</t>
  </si>
  <si>
    <t>105-67-9</t>
  </si>
  <si>
    <t>Pharmacological</t>
  </si>
  <si>
    <t>TX002120</t>
  </si>
  <si>
    <t>340</t>
  </si>
  <si>
    <t>20</t>
  </si>
  <si>
    <t>2,4'-ddd</t>
  </si>
  <si>
    <t>53-19-0</t>
  </si>
  <si>
    <t>pestInsecticide; pharmacological</t>
  </si>
  <si>
    <t>21</t>
  </si>
  <si>
    <t>2,4'-dde</t>
  </si>
  <si>
    <t>3424-82-6</t>
  </si>
  <si>
    <t>pestInsecticide</t>
  </si>
  <si>
    <t>22</t>
  </si>
  <si>
    <t>2,4'-ddt</t>
  </si>
  <si>
    <t>789-02-6</t>
  </si>
  <si>
    <t>TX012612</t>
  </si>
  <si>
    <t>2490</t>
  </si>
  <si>
    <t>23</t>
  </si>
  <si>
    <t>2,6-dichlorophenol</t>
  </si>
  <si>
    <t>87-65-0</t>
  </si>
  <si>
    <t>industrial; pulpAndPaper; phenol</t>
  </si>
  <si>
    <t>24</t>
  </si>
  <si>
    <t>2-chlorophenol</t>
  </si>
  <si>
    <t>95-57-8</t>
  </si>
  <si>
    <t>General Pesticide</t>
  </si>
  <si>
    <t>TX001830</t>
  </si>
  <si>
    <t>376</t>
  </si>
  <si>
    <t>26</t>
  </si>
  <si>
    <t>2-methylphenol</t>
  </si>
  <si>
    <t>95-48-7</t>
  </si>
  <si>
    <t>Industrial</t>
  </si>
  <si>
    <t>TX001704</t>
  </si>
  <si>
    <t>410</t>
  </si>
  <si>
    <t>27</t>
  </si>
  <si>
    <t>2-naphthylamine</t>
  </si>
  <si>
    <t>91-59-8</t>
  </si>
  <si>
    <t>TX002103</t>
  </si>
  <si>
    <t>413</t>
  </si>
  <si>
    <t>28</t>
  </si>
  <si>
    <t>2-nitroaniline</t>
  </si>
  <si>
    <t>88-74-4</t>
  </si>
  <si>
    <t>29</t>
  </si>
  <si>
    <t>2-nitrophenol</t>
  </si>
  <si>
    <t>88-75-5</t>
  </si>
  <si>
    <t>industrial; phenol</t>
  </si>
  <si>
    <t>30</t>
  </si>
  <si>
    <t>3,3'-dimethoxybenzidine</t>
  </si>
  <si>
    <t>119-90-4</t>
  </si>
  <si>
    <t>TX001914</t>
  </si>
  <si>
    <t>470</t>
  </si>
  <si>
    <t>31</t>
  </si>
  <si>
    <t>3-hydroxycarbofuran</t>
  </si>
  <si>
    <t>16655-82-6</t>
  </si>
  <si>
    <t>32</t>
  </si>
  <si>
    <t>m-cresol</t>
  </si>
  <si>
    <t>108-39-4</t>
  </si>
  <si>
    <t>33</t>
  </si>
  <si>
    <t>3-nitroaniline</t>
  </si>
  <si>
    <t>99-09-2</t>
  </si>
  <si>
    <t>34</t>
  </si>
  <si>
    <t>4,4'-ddd</t>
  </si>
  <si>
    <t>72-54-8</t>
  </si>
  <si>
    <t>TX005664</t>
  </si>
  <si>
    <t>2687</t>
  </si>
  <si>
    <t>35</t>
  </si>
  <si>
    <t>4,4'-dde</t>
  </si>
  <si>
    <t>72-55-9</t>
  </si>
  <si>
    <t>TX003073</t>
  </si>
  <si>
    <t>2688</t>
  </si>
  <si>
    <t>36</t>
  </si>
  <si>
    <t>4,4'-ddt</t>
  </si>
  <si>
    <t>50-29-3</t>
  </si>
  <si>
    <t>NTP DNT 91-E3; TX002357</t>
  </si>
  <si>
    <t>2689; 1629</t>
  </si>
  <si>
    <t>NTP DNT Project; ToxCast Ph 1 and 2</t>
  </si>
  <si>
    <t>37</t>
  </si>
  <si>
    <t>4,4'-oxydianiline</t>
  </si>
  <si>
    <t>101-80-4</t>
  </si>
  <si>
    <t>TX003357</t>
  </si>
  <si>
    <t>560</t>
  </si>
  <si>
    <t>38</t>
  </si>
  <si>
    <t>4,6-dinitro-o-cresol [dnoc]</t>
  </si>
  <si>
    <t>534-52-1</t>
  </si>
  <si>
    <t>TX010858</t>
  </si>
  <si>
    <t>400</t>
  </si>
  <si>
    <t>39</t>
  </si>
  <si>
    <t>4-aminobiphenyl</t>
  </si>
  <si>
    <t>92-67-1</t>
  </si>
  <si>
    <t>40</t>
  </si>
  <si>
    <t>4-chloro-3-methylphenol</t>
  </si>
  <si>
    <t>59-50-7</t>
  </si>
  <si>
    <t>TX002200</t>
  </si>
  <si>
    <t>584</t>
  </si>
  <si>
    <t>41</t>
  </si>
  <si>
    <t>4-chloroaniline</t>
  </si>
  <si>
    <t>106-47-8</t>
  </si>
  <si>
    <t>TX007246</t>
  </si>
  <si>
    <t>585</t>
  </si>
  <si>
    <t>42</t>
  </si>
  <si>
    <t>4-chlorophenyl phenyl ether</t>
  </si>
  <si>
    <t>7005-72-3</t>
  </si>
  <si>
    <t>industrial; haloEthers</t>
  </si>
  <si>
    <t>43</t>
  </si>
  <si>
    <t>4-methylphenol</t>
  </si>
  <si>
    <t>106-44-5</t>
  </si>
  <si>
    <t>TX001815</t>
  </si>
  <si>
    <t>606</t>
  </si>
  <si>
    <t>44</t>
  </si>
  <si>
    <t>4-nitroaniline</t>
  </si>
  <si>
    <t>100-01-6</t>
  </si>
  <si>
    <t>TX007263</t>
  </si>
  <si>
    <t>607</t>
  </si>
  <si>
    <t>46</t>
  </si>
  <si>
    <t>4-nitrophenol</t>
  </si>
  <si>
    <t>100-02-7</t>
  </si>
  <si>
    <t>TX003185</t>
  </si>
  <si>
    <t>610</t>
  </si>
  <si>
    <t>47</t>
  </si>
  <si>
    <t>p-nitrotoluene</t>
  </si>
  <si>
    <t>99-99-0</t>
  </si>
  <si>
    <t>TX001651</t>
  </si>
  <si>
    <t>611</t>
  </si>
  <si>
    <t>alachlor</t>
  </si>
  <si>
    <t>15972-60-8</t>
  </si>
  <si>
    <t>TX000922</t>
  </si>
  <si>
    <t>997</t>
  </si>
  <si>
    <t>aldrin</t>
  </si>
  <si>
    <t>309-00-2</t>
  </si>
  <si>
    <t>TX004449</t>
  </si>
  <si>
    <t>1000</t>
  </si>
  <si>
    <t>55</t>
  </si>
  <si>
    <t>alpha-bhc</t>
  </si>
  <si>
    <t>319-84-6</t>
  </si>
  <si>
    <t>alpha-chlordane</t>
  </si>
  <si>
    <t>5103-71-9</t>
  </si>
  <si>
    <t>ametryne</t>
  </si>
  <si>
    <t>834-12-8</t>
  </si>
  <si>
    <t>TX000947</t>
  </si>
  <si>
    <t>1010</t>
  </si>
  <si>
    <t>aminocarb</t>
  </si>
  <si>
    <t>2032-59-9</t>
  </si>
  <si>
    <t>59</t>
  </si>
  <si>
    <t>anilazine</t>
  </si>
  <si>
    <t>101-05-3</t>
  </si>
  <si>
    <t>TX000832</t>
  </si>
  <si>
    <t>1028</t>
  </si>
  <si>
    <t>aniline</t>
  </si>
  <si>
    <t>62-53-3</t>
  </si>
  <si>
    <t>aramite</t>
  </si>
  <si>
    <t>140-57-8</t>
  </si>
  <si>
    <t>pestGeneral</t>
  </si>
  <si>
    <t>atraton</t>
  </si>
  <si>
    <t>1610-17-9</t>
  </si>
  <si>
    <t>pestHerbicide</t>
  </si>
  <si>
    <t>atrazine</t>
  </si>
  <si>
    <t>1912-24-9</t>
  </si>
  <si>
    <t>NTP-4001204798-C7; TX001546</t>
  </si>
  <si>
    <t>1105</t>
  </si>
  <si>
    <t>NTP BPA Analogue; ToxCast Ph 1 and 2</t>
  </si>
  <si>
    <t>azinphos-methyl</t>
  </si>
  <si>
    <t>86-50-0</t>
  </si>
  <si>
    <t>TX003365</t>
  </si>
  <si>
    <t>1119</t>
  </si>
  <si>
    <t>azobenzene</t>
  </si>
  <si>
    <t>103-33-3</t>
  </si>
  <si>
    <t>TX007196</t>
  </si>
  <si>
    <t>1120</t>
  </si>
  <si>
    <t>barban</t>
  </si>
  <si>
    <t>101-27-9</t>
  </si>
  <si>
    <t>68</t>
  </si>
  <si>
    <t>propoxur</t>
  </si>
  <si>
    <t>114-26-1</t>
  </si>
  <si>
    <t>TX001548</t>
  </si>
  <si>
    <t>2720</t>
  </si>
  <si>
    <t>bentazone</t>
  </si>
  <si>
    <t>25057-89-0</t>
  </si>
  <si>
    <t>TX000952</t>
  </si>
  <si>
    <t>1160</t>
  </si>
  <si>
    <t>benzidine</t>
  </si>
  <si>
    <t>92-87-5</t>
  </si>
  <si>
    <t>TX005215</t>
  </si>
  <si>
    <t>1167</t>
  </si>
  <si>
    <t>78</t>
  </si>
  <si>
    <t>benzyl alcohol</t>
  </si>
  <si>
    <t>100-51-6</t>
  </si>
  <si>
    <t>pharmacological; personalCare; industrial; natural; consumerProduct</t>
  </si>
  <si>
    <t>TX002088</t>
  </si>
  <si>
    <t>1187</t>
  </si>
  <si>
    <t>79</t>
  </si>
  <si>
    <t>butyl benzyl phthalate</t>
  </si>
  <si>
    <t>85-68-7</t>
  </si>
  <si>
    <t>TX009655</t>
  </si>
  <si>
    <t>1268</t>
  </si>
  <si>
    <t>80</t>
  </si>
  <si>
    <t>beta-bhc</t>
  </si>
  <si>
    <t>319-85-7</t>
  </si>
  <si>
    <t>TX011620</t>
  </si>
  <si>
    <t>1191</t>
  </si>
  <si>
    <t>81</t>
  </si>
  <si>
    <t>bis[2-ethylhexyl]phthalate</t>
  </si>
  <si>
    <t>117-81-7</t>
  </si>
  <si>
    <t>NTP DNT 91-D11; TX011592</t>
  </si>
  <si>
    <t>82</t>
  </si>
  <si>
    <t>bromacil</t>
  </si>
  <si>
    <t>314-40-9</t>
  </si>
  <si>
    <t>TX000840</t>
  </si>
  <si>
    <t>1246</t>
  </si>
  <si>
    <t>83</t>
  </si>
  <si>
    <t>bromoxynil</t>
  </si>
  <si>
    <t>1689-84-5</t>
  </si>
  <si>
    <t>TX001550</t>
  </si>
  <si>
    <t>1250</t>
  </si>
  <si>
    <t>84</t>
  </si>
  <si>
    <t>butachlor</t>
  </si>
  <si>
    <t>23184-66-9</t>
  </si>
  <si>
    <t>TX000759</t>
  </si>
  <si>
    <t>1262</t>
  </si>
  <si>
    <t>85</t>
  </si>
  <si>
    <t>butylate</t>
  </si>
  <si>
    <t>2008-41-5</t>
  </si>
  <si>
    <t>TX002809</t>
  </si>
  <si>
    <t>1269</t>
  </si>
  <si>
    <t>86</t>
  </si>
  <si>
    <t>captafol</t>
  </si>
  <si>
    <t>2425-06-1</t>
  </si>
  <si>
    <t>87</t>
  </si>
  <si>
    <t>captan</t>
  </si>
  <si>
    <t>133-06-2</t>
  </si>
  <si>
    <t>NTP DNT 91-D3; TX001434</t>
  </si>
  <si>
    <t>1312</t>
  </si>
  <si>
    <t>88</t>
  </si>
  <si>
    <t>carbaryl</t>
  </si>
  <si>
    <t>63-25-2</t>
  </si>
  <si>
    <t>NTP DNT 91-D5; TX000856</t>
  </si>
  <si>
    <t>1315</t>
  </si>
  <si>
    <t>90</t>
  </si>
  <si>
    <t>carbofuran</t>
  </si>
  <si>
    <t>1563-66-2</t>
  </si>
  <si>
    <t>TX011617</t>
  </si>
  <si>
    <t>1318</t>
  </si>
  <si>
    <t>91</t>
  </si>
  <si>
    <t>carbophenothion</t>
  </si>
  <si>
    <t>786-19-6</t>
  </si>
  <si>
    <t>92</t>
  </si>
  <si>
    <t>carboxin</t>
  </si>
  <si>
    <t>5234-68-4</t>
  </si>
  <si>
    <t>TX000965</t>
  </si>
  <si>
    <t>1322</t>
  </si>
  <si>
    <t>93</t>
  </si>
  <si>
    <t>chlorfenvinphos</t>
  </si>
  <si>
    <t>470-90-6</t>
  </si>
  <si>
    <t>94</t>
  </si>
  <si>
    <t>chlorobenzilate</t>
  </si>
  <si>
    <t>510-15-6</t>
  </si>
  <si>
    <t>TX009932</t>
  </si>
  <si>
    <t>1359</t>
  </si>
  <si>
    <t>95</t>
  </si>
  <si>
    <t>chloroneb</t>
  </si>
  <si>
    <t>2675-77-6</t>
  </si>
  <si>
    <t>TX001571</t>
  </si>
  <si>
    <t>1360</t>
  </si>
  <si>
    <t>96</t>
  </si>
  <si>
    <t>chloropropylate</t>
  </si>
  <si>
    <t>5836-10-2</t>
  </si>
  <si>
    <t>97</t>
  </si>
  <si>
    <t>chlorothalonil</t>
  </si>
  <si>
    <t>1897-45-6</t>
  </si>
  <si>
    <t>TX003698</t>
  </si>
  <si>
    <t>1361</t>
  </si>
  <si>
    <t>98</t>
  </si>
  <si>
    <t>chlorpropham</t>
  </si>
  <si>
    <t>101-21-3</t>
  </si>
  <si>
    <t>TX001551</t>
  </si>
  <si>
    <t>1363</t>
  </si>
  <si>
    <t>99</t>
  </si>
  <si>
    <t>chlorpyrifos</t>
  </si>
  <si>
    <t>2921-88-2</t>
  </si>
  <si>
    <t>C43221; NTP DNT 91-D6; TX003539</t>
  </si>
  <si>
    <t>1364</t>
  </si>
  <si>
    <t>EPA Flame Retardant Specific Plates; NTP DNT Project; ToxCast Ph 1 and 2</t>
  </si>
  <si>
    <t>101</t>
  </si>
  <si>
    <t>cis-nonachlor</t>
  </si>
  <si>
    <t>5103-73-1</t>
  </si>
  <si>
    <t>102</t>
  </si>
  <si>
    <t>coumaphos</t>
  </si>
  <si>
    <t>56-72-4</t>
  </si>
  <si>
    <t>TX001606</t>
  </si>
  <si>
    <t>1454</t>
  </si>
  <si>
    <t>103</t>
  </si>
  <si>
    <t>crotoxyphos</t>
  </si>
  <si>
    <t>7700-17-6</t>
  </si>
  <si>
    <t>104</t>
  </si>
  <si>
    <t>cycloate</t>
  </si>
  <si>
    <t>1134-23-2</t>
  </si>
  <si>
    <t>TX000702</t>
  </si>
  <si>
    <t>105</t>
  </si>
  <si>
    <t>d-limonene</t>
  </si>
  <si>
    <t>5989-27-5</t>
  </si>
  <si>
    <t>personalCare; natural; consumerProduct</t>
  </si>
  <si>
    <t>106</t>
  </si>
  <si>
    <t>dacthal</t>
  </si>
  <si>
    <t>1861-32-1</t>
  </si>
  <si>
    <t>TX011001</t>
  </si>
  <si>
    <t>1369</t>
  </si>
  <si>
    <t>107</t>
  </si>
  <si>
    <t>delta-bhc</t>
  </si>
  <si>
    <t>319-86-8</t>
  </si>
  <si>
    <t>108</t>
  </si>
  <si>
    <t>demeton-s</t>
  </si>
  <si>
    <t>126-75-0</t>
  </si>
  <si>
    <t>109</t>
  </si>
  <si>
    <t>di-n-butyl phthalate</t>
  </si>
  <si>
    <t>84-74-2</t>
  </si>
  <si>
    <t>NTP-4001204798-C12; TX001545</t>
  </si>
  <si>
    <t>1624</t>
  </si>
  <si>
    <t>110</t>
  </si>
  <si>
    <t>di-n-octyl phthalate</t>
  </si>
  <si>
    <t>117-84-0</t>
  </si>
  <si>
    <t>TX009038</t>
  </si>
  <si>
    <t>1686</t>
  </si>
  <si>
    <t>111</t>
  </si>
  <si>
    <t>diallate i</t>
  </si>
  <si>
    <t>2303-16-4</t>
  </si>
  <si>
    <t>112</t>
  </si>
  <si>
    <t>diazinon</t>
  </si>
  <si>
    <t>333-41-5</t>
  </si>
  <si>
    <t>TX000695</t>
  </si>
  <si>
    <t>116</t>
  </si>
  <si>
    <t>dicamba</t>
  </si>
  <si>
    <t>1918-00-9</t>
  </si>
  <si>
    <t>TX000852</t>
  </si>
  <si>
    <t>1625</t>
  </si>
  <si>
    <t>117</t>
  </si>
  <si>
    <t>dichlone</t>
  </si>
  <si>
    <t>117-80-6</t>
  </si>
  <si>
    <t>pestFungicide; pestHerbicide; OPAH</t>
  </si>
  <si>
    <t>118</t>
  </si>
  <si>
    <t>dichloran</t>
  </si>
  <si>
    <t>99-30-9</t>
  </si>
  <si>
    <t>TX003700</t>
  </si>
  <si>
    <t>1635</t>
  </si>
  <si>
    <t>119</t>
  </si>
  <si>
    <t>dichlorprop</t>
  </si>
  <si>
    <t>120-36-5</t>
  </si>
  <si>
    <t>TX001535</t>
  </si>
  <si>
    <t>1630</t>
  </si>
  <si>
    <t>120</t>
  </si>
  <si>
    <t>dichlorvos</t>
  </si>
  <si>
    <t>62-73-7</t>
  </si>
  <si>
    <t>TX001608</t>
  </si>
  <si>
    <t>1631</t>
  </si>
  <si>
    <t>121</t>
  </si>
  <si>
    <t>dicrotophos</t>
  </si>
  <si>
    <t>141-66-2</t>
  </si>
  <si>
    <t>TX001418</t>
  </si>
  <si>
    <t>1638</t>
  </si>
  <si>
    <t>122</t>
  </si>
  <si>
    <t>dieldrin</t>
  </si>
  <si>
    <t>60-57-1</t>
  </si>
  <si>
    <t>NTP DNT 91-E4; TX007214</t>
  </si>
  <si>
    <t>1642</t>
  </si>
  <si>
    <t>123</t>
  </si>
  <si>
    <t>diethyl phthalate</t>
  </si>
  <si>
    <t>84-66-2</t>
  </si>
  <si>
    <t>TX005146</t>
  </si>
  <si>
    <t>1645</t>
  </si>
  <si>
    <t>124</t>
  </si>
  <si>
    <t>diethylstilbestrol</t>
  </si>
  <si>
    <t>56-53-1</t>
  </si>
  <si>
    <t>NTP DNT 91-E5; TX008337</t>
  </si>
  <si>
    <t>1651</t>
  </si>
  <si>
    <t>125</t>
  </si>
  <si>
    <t>diethylene glycol</t>
  </si>
  <si>
    <t>111-46-6</t>
  </si>
  <si>
    <t>TX002325</t>
  </si>
  <si>
    <t>1648</t>
  </si>
  <si>
    <t>126</t>
  </si>
  <si>
    <t>dimethoate</t>
  </si>
  <si>
    <t>60-51-5</t>
  </si>
  <si>
    <t>TX001423</t>
  </si>
  <si>
    <t>1664</t>
  </si>
  <si>
    <t>127</t>
  </si>
  <si>
    <t>fenarimol</t>
  </si>
  <si>
    <t>60168-88-9</t>
  </si>
  <si>
    <t>TX001617</t>
  </si>
  <si>
    <t>1818</t>
  </si>
  <si>
    <t>128</t>
  </si>
  <si>
    <t>fensulfothion</t>
  </si>
  <si>
    <t>115-90-2</t>
  </si>
  <si>
    <t>fenthion</t>
  </si>
  <si>
    <t>55-38-9</t>
  </si>
  <si>
    <t>TX000944</t>
  </si>
  <si>
    <t>1827</t>
  </si>
  <si>
    <t>130</t>
  </si>
  <si>
    <t>fenuron</t>
  </si>
  <si>
    <t>101-42-8</t>
  </si>
  <si>
    <t>131</t>
  </si>
  <si>
    <t>fluchloralin</t>
  </si>
  <si>
    <t>33245-39-5</t>
  </si>
  <si>
    <t>132</t>
  </si>
  <si>
    <t>fluometuron</t>
  </si>
  <si>
    <t>2164-17-2</t>
  </si>
  <si>
    <t>TX000997</t>
  </si>
  <si>
    <t>1853</t>
  </si>
  <si>
    <t>135</t>
  </si>
  <si>
    <t>fluridone</t>
  </si>
  <si>
    <t>59756-60-4</t>
  </si>
  <si>
    <t>TX005891</t>
  </si>
  <si>
    <t>1857</t>
  </si>
  <si>
    <t>136</t>
  </si>
  <si>
    <t>gamma-chlordane</t>
  </si>
  <si>
    <t>5103-74-2</t>
  </si>
  <si>
    <t>137</t>
  </si>
  <si>
    <t>isodrin</t>
  </si>
  <si>
    <t>465-73-6</t>
  </si>
  <si>
    <t>138</t>
  </si>
  <si>
    <t>kepone</t>
  </si>
  <si>
    <t>143-50-0</t>
  </si>
  <si>
    <t>NTP-4001204798-D12; TX002769</t>
  </si>
  <si>
    <t>2058</t>
  </si>
  <si>
    <t>139</t>
  </si>
  <si>
    <t>leptophos</t>
  </si>
  <si>
    <t>21609-90-5</t>
  </si>
  <si>
    <t>140</t>
  </si>
  <si>
    <t>linuron</t>
  </si>
  <si>
    <t>330-55-2</t>
  </si>
  <si>
    <t>TX000967</t>
  </si>
  <si>
    <t>2091</t>
  </si>
  <si>
    <t>141</t>
  </si>
  <si>
    <t>malathion</t>
  </si>
  <si>
    <t>121-75-5</t>
  </si>
  <si>
    <t>TX009153</t>
  </si>
  <si>
    <t>2104</t>
  </si>
  <si>
    <t>142</t>
  </si>
  <si>
    <t>merphos</t>
  </si>
  <si>
    <t>150-50-5</t>
  </si>
  <si>
    <t>143</t>
  </si>
  <si>
    <t>methiocarb</t>
  </si>
  <si>
    <t>2032-65-7</t>
  </si>
  <si>
    <t>144</t>
  </si>
  <si>
    <t>methomyl</t>
  </si>
  <si>
    <t>16752-77-5</t>
  </si>
  <si>
    <t>TX000890</t>
  </si>
  <si>
    <t>2140</t>
  </si>
  <si>
    <t>145</t>
  </si>
  <si>
    <t>methoxychlor</t>
  </si>
  <si>
    <t>72-43-5</t>
  </si>
  <si>
    <t>NTP-4001204798-D5; TX011583</t>
  </si>
  <si>
    <t>2142</t>
  </si>
  <si>
    <t>146</t>
  </si>
  <si>
    <t>methyl paraoxon</t>
  </si>
  <si>
    <t>950-35-6</t>
  </si>
  <si>
    <t>147</t>
  </si>
  <si>
    <t>naled</t>
  </si>
  <si>
    <t>300-76-5</t>
  </si>
  <si>
    <t>TX000721</t>
  </si>
  <si>
    <t>2269</t>
  </si>
  <si>
    <t>149</t>
  </si>
  <si>
    <t>nicotine</t>
  </si>
  <si>
    <t>54-11-5</t>
  </si>
  <si>
    <t>TX004467</t>
  </si>
  <si>
    <t>2360</t>
  </si>
  <si>
    <t>150</t>
  </si>
  <si>
    <t>nitrofen</t>
  </si>
  <si>
    <t>1836-75-5</t>
  </si>
  <si>
    <t>TX006885</t>
  </si>
  <si>
    <t>2372</t>
  </si>
  <si>
    <t>151</t>
  </si>
  <si>
    <t>norflurazon</t>
  </si>
  <si>
    <t>27314-13-2</t>
  </si>
  <si>
    <t>TX000708</t>
  </si>
  <si>
    <t>2433</t>
  </si>
  <si>
    <t>152</t>
  </si>
  <si>
    <t>o-toluidine</t>
  </si>
  <si>
    <t>95-53-4</t>
  </si>
  <si>
    <t>TX005116</t>
  </si>
  <si>
    <t>403</t>
  </si>
  <si>
    <t>153</t>
  </si>
  <si>
    <t>octamethyl pyrophosphoramide</t>
  </si>
  <si>
    <t>152-16-9</t>
  </si>
  <si>
    <t>phenol</t>
  </si>
  <si>
    <t>108-95-2</t>
  </si>
  <si>
    <t>TX001920</t>
  </si>
  <si>
    <t>2638</t>
  </si>
  <si>
    <t>156</t>
  </si>
  <si>
    <t>phorate</t>
  </si>
  <si>
    <t>298-02-2</t>
  </si>
  <si>
    <t>TX004824</t>
  </si>
  <si>
    <t>2645</t>
  </si>
  <si>
    <t>157</t>
  </si>
  <si>
    <t>phosalone</t>
  </si>
  <si>
    <t>2310-17-0</t>
  </si>
  <si>
    <t>TX000955</t>
  </si>
  <si>
    <t>2647</t>
  </si>
  <si>
    <t>158</t>
  </si>
  <si>
    <t>imidan</t>
  </si>
  <si>
    <t>732-11-6</t>
  </si>
  <si>
    <t>NTP-4001204798-D8; TX002705</t>
  </si>
  <si>
    <t>2650</t>
  </si>
  <si>
    <t>159</t>
  </si>
  <si>
    <t>phosphamidon</t>
  </si>
  <si>
    <t>13171-21-6</t>
  </si>
  <si>
    <t>pestInsecticide; pestInsecticide</t>
  </si>
  <si>
    <t>160</t>
  </si>
  <si>
    <t>promecarb</t>
  </si>
  <si>
    <t>2631-37-0</t>
  </si>
  <si>
    <t>161</t>
  </si>
  <si>
    <t>prometon</t>
  </si>
  <si>
    <t>1610-18-0</t>
  </si>
  <si>
    <t>TX000693</t>
  </si>
  <si>
    <t>2707</t>
  </si>
  <si>
    <t>162</t>
  </si>
  <si>
    <t>prometryn</t>
  </si>
  <si>
    <t>7287-19-6</t>
  </si>
  <si>
    <t>TX000914</t>
  </si>
  <si>
    <t>2708</t>
  </si>
  <si>
    <t>163</t>
  </si>
  <si>
    <t>propyzamide</t>
  </si>
  <si>
    <t>23950-58-5</t>
  </si>
  <si>
    <t>TX000795</t>
  </si>
  <si>
    <t>2727</t>
  </si>
  <si>
    <t>164</t>
  </si>
  <si>
    <t>propachlor</t>
  </si>
  <si>
    <t>1918-16-7</t>
  </si>
  <si>
    <t>165</t>
  </si>
  <si>
    <t>propazine</t>
  </si>
  <si>
    <t>139-40-2</t>
  </si>
  <si>
    <t>TX001549</t>
  </si>
  <si>
    <t>2716</t>
  </si>
  <si>
    <t>166</t>
  </si>
  <si>
    <t>propham</t>
  </si>
  <si>
    <t>122-42-9</t>
  </si>
  <si>
    <t>prothiofos</t>
  </si>
  <si>
    <t>34643-46-4</t>
  </si>
  <si>
    <t>170</t>
  </si>
  <si>
    <t>fenchlorphos</t>
  </si>
  <si>
    <t>299-84-3</t>
  </si>
  <si>
    <t>171</t>
  </si>
  <si>
    <t>thionazin</t>
  </si>
  <si>
    <t>297-97-2</t>
  </si>
  <si>
    <t>dimethyl phthalate</t>
  </si>
  <si>
    <t>131-11-3</t>
  </si>
  <si>
    <t>TX001552</t>
  </si>
  <si>
    <t>1674</t>
  </si>
  <si>
    <t>173</t>
  </si>
  <si>
    <t>dinocap</t>
  </si>
  <si>
    <t>39300-45-3</t>
  </si>
  <si>
    <t>174</t>
  </si>
  <si>
    <t>dinoseb</t>
  </si>
  <si>
    <t>88-85-7</t>
  </si>
  <si>
    <t>TX005994</t>
  </si>
  <si>
    <t>1685</t>
  </si>
  <si>
    <t>175</t>
  </si>
  <si>
    <t>dioxacarb</t>
  </si>
  <si>
    <t>6988-21-2</t>
  </si>
  <si>
    <t>176</t>
  </si>
  <si>
    <t>diphenylamine</t>
  </si>
  <si>
    <t>122-39-4</t>
  </si>
  <si>
    <t>TX003699</t>
  </si>
  <si>
    <t>1692</t>
  </si>
  <si>
    <t>177</t>
  </si>
  <si>
    <t>diphenamid</t>
  </si>
  <si>
    <t>957-51-7</t>
  </si>
  <si>
    <t>disulfoton</t>
  </si>
  <si>
    <t>298-04-4</t>
  </si>
  <si>
    <t>TX001611</t>
  </si>
  <si>
    <t>1699</t>
  </si>
  <si>
    <t>179</t>
  </si>
  <si>
    <t>disulfoton sulfone</t>
  </si>
  <si>
    <t>2497-06-5</t>
  </si>
  <si>
    <t>180</t>
  </si>
  <si>
    <t>diuron</t>
  </si>
  <si>
    <t>330-54-1</t>
  </si>
  <si>
    <t>TX000848</t>
  </si>
  <si>
    <t>1703</t>
  </si>
  <si>
    <t>181</t>
  </si>
  <si>
    <t>endosulfan ii</t>
  </si>
  <si>
    <t>33213-65-9</t>
  </si>
  <si>
    <t>182</t>
  </si>
  <si>
    <t>endosulfan sulfate</t>
  </si>
  <si>
    <t>1031-07-8</t>
  </si>
  <si>
    <t>183</t>
  </si>
  <si>
    <t>endrin</t>
  </si>
  <si>
    <t>72-20-8</t>
  </si>
  <si>
    <t>TX010388</t>
  </si>
  <si>
    <t>1764</t>
  </si>
  <si>
    <t>184</t>
  </si>
  <si>
    <t>endrin aldehyde</t>
  </si>
  <si>
    <t>7421-93-4</t>
  </si>
  <si>
    <t>pestFungicide; pestInsecticide; pestRodenticide</t>
  </si>
  <si>
    <t>185</t>
  </si>
  <si>
    <t>endrin ketone</t>
  </si>
  <si>
    <t>53494-70-5</t>
  </si>
  <si>
    <t>186</t>
  </si>
  <si>
    <t>epn</t>
  </si>
  <si>
    <t>2104-64-5</t>
  </si>
  <si>
    <t>TX006132</t>
  </si>
  <si>
    <t>2485</t>
  </si>
  <si>
    <t>187</t>
  </si>
  <si>
    <t>eptc</t>
  </si>
  <si>
    <t>759-94-4</t>
  </si>
  <si>
    <t>TX003535</t>
  </si>
  <si>
    <t>2839</t>
  </si>
  <si>
    <t>188</t>
  </si>
  <si>
    <t>ethion</t>
  </si>
  <si>
    <t>563-12-2</t>
  </si>
  <si>
    <t>TX004536</t>
  </si>
  <si>
    <t>1778</t>
  </si>
  <si>
    <t>189</t>
  </si>
  <si>
    <t>terrazole</t>
  </si>
  <si>
    <t>2593-15-9</t>
  </si>
  <si>
    <t>TX000845</t>
  </si>
  <si>
    <t>1795</t>
  </si>
  <si>
    <t>190</t>
  </si>
  <si>
    <t>famphur</t>
  </si>
  <si>
    <t>52-85-7</t>
  </si>
  <si>
    <t>191</t>
  </si>
  <si>
    <t>lindane</t>
  </si>
  <si>
    <t>58-89-9</t>
  </si>
  <si>
    <t>NTP DNT 91-F3; TX001547</t>
  </si>
  <si>
    <t>2090</t>
  </si>
  <si>
    <t>heptachlor</t>
  </si>
  <si>
    <t>76-44-8</t>
  </si>
  <si>
    <t>NTP DNT 91-E9; TX008463</t>
  </si>
  <si>
    <t>1925</t>
  </si>
  <si>
    <t>193</t>
  </si>
  <si>
    <t>heptachlor epoxide</t>
  </si>
  <si>
    <t>1024-57-3</t>
  </si>
  <si>
    <t>TX011614</t>
  </si>
  <si>
    <t>1926</t>
  </si>
  <si>
    <t>194</t>
  </si>
  <si>
    <t>hexachlorobenzene</t>
  </si>
  <si>
    <t>118-74-1</t>
  </si>
  <si>
    <t>pestFungicide; industrial</t>
  </si>
  <si>
    <t>195</t>
  </si>
  <si>
    <t>hexachlorophene</t>
  </si>
  <si>
    <t>70-30-4</t>
  </si>
  <si>
    <t>NTP DNT 91-E10</t>
  </si>
  <si>
    <t>1930</t>
  </si>
  <si>
    <t>196</t>
  </si>
  <si>
    <t>hexazinone</t>
  </si>
  <si>
    <t>51235-04-2</t>
  </si>
  <si>
    <t>TX000957</t>
  </si>
  <si>
    <t>1940</t>
  </si>
  <si>
    <t>198</t>
  </si>
  <si>
    <t>metolachlor</t>
  </si>
  <si>
    <t>51218-45-2</t>
  </si>
  <si>
    <t>TX000793</t>
  </si>
  <si>
    <t>2161</t>
  </si>
  <si>
    <t>199</t>
  </si>
  <si>
    <t>metribuzin</t>
  </si>
  <si>
    <t>21087-64-9</t>
  </si>
  <si>
    <t>TX003710</t>
  </si>
  <si>
    <t>2162</t>
  </si>
  <si>
    <t>200</t>
  </si>
  <si>
    <t>mevinphos</t>
  </si>
  <si>
    <t>7786-34-7</t>
  </si>
  <si>
    <t>TX001580</t>
  </si>
  <si>
    <t>2163</t>
  </si>
  <si>
    <t>201</t>
  </si>
  <si>
    <t>mirex</t>
  </si>
  <si>
    <t>2385-85-5</t>
  </si>
  <si>
    <t>C45712; TX009910</t>
  </si>
  <si>
    <t>2180</t>
  </si>
  <si>
    <t>EPA Flame Retardant Specific Plates; ToxCast Ph 1 and 2</t>
  </si>
  <si>
    <t>202</t>
  </si>
  <si>
    <t>molinate</t>
  </si>
  <si>
    <t>2212-67-1</t>
  </si>
  <si>
    <t>TX002810</t>
  </si>
  <si>
    <t>2182</t>
  </si>
  <si>
    <t>monocrotophos</t>
  </si>
  <si>
    <t>6923-22-4</t>
  </si>
  <si>
    <t>TX000999</t>
  </si>
  <si>
    <t>2188</t>
  </si>
  <si>
    <t>204</t>
  </si>
  <si>
    <t>oxamyl</t>
  </si>
  <si>
    <t>23135-22-0</t>
  </si>
  <si>
    <t>TX000763</t>
  </si>
  <si>
    <t>2496</t>
  </si>
  <si>
    <t>205</t>
  </si>
  <si>
    <t>oxychlordane</t>
  </si>
  <si>
    <t>27304-13-8</t>
  </si>
  <si>
    <t>206</t>
  </si>
  <si>
    <t>parathion-ethyl</t>
  </si>
  <si>
    <t>56-38-2</t>
  </si>
  <si>
    <t>NTP DNT 91-F8; TX001592</t>
  </si>
  <si>
    <t>2532</t>
  </si>
  <si>
    <t>207</t>
  </si>
  <si>
    <t>parathion-methyl</t>
  </si>
  <si>
    <t>298-00-0</t>
  </si>
  <si>
    <t>TX001422</t>
  </si>
  <si>
    <t>2154</t>
  </si>
  <si>
    <t>208</t>
  </si>
  <si>
    <t>pebulate</t>
  </si>
  <si>
    <t>1114-71-2</t>
  </si>
  <si>
    <t>209</t>
  </si>
  <si>
    <t>pentachlorobenzene</t>
  </si>
  <si>
    <t>608-93-5</t>
  </si>
  <si>
    <t>pestFungicide; pestInsecticide; industrial</t>
  </si>
  <si>
    <t>210</t>
  </si>
  <si>
    <t>pentachloronitrobenzene</t>
  </si>
  <si>
    <t>82-68-8</t>
  </si>
  <si>
    <t>TX001544</t>
  </si>
  <si>
    <t>2572</t>
  </si>
  <si>
    <t>211</t>
  </si>
  <si>
    <t>pentachlorophenol</t>
  </si>
  <si>
    <t>87-86-5</t>
  </si>
  <si>
    <t>TX001735</t>
  </si>
  <si>
    <t>2573</t>
  </si>
  <si>
    <t>212</t>
  </si>
  <si>
    <t>permethrin</t>
  </si>
  <si>
    <t>52645-53-1</t>
  </si>
  <si>
    <t>NTP DNT 91-F9; TX000949</t>
  </si>
  <si>
    <t>2602</t>
  </si>
  <si>
    <t>213</t>
  </si>
  <si>
    <t>secbumeton</t>
  </si>
  <si>
    <t>26259-45-0</t>
  </si>
  <si>
    <t>214</t>
  </si>
  <si>
    <t>simazine</t>
  </si>
  <si>
    <t>122-34-9</t>
  </si>
  <si>
    <t>TX001534</t>
  </si>
  <si>
    <t>2849</t>
  </si>
  <si>
    <t>215</t>
  </si>
  <si>
    <t>simetryn</t>
  </si>
  <si>
    <t>1014-70-6</t>
  </si>
  <si>
    <t>216</t>
  </si>
  <si>
    <t>sulfotep</t>
  </si>
  <si>
    <t>3689-24-5</t>
  </si>
  <si>
    <t>217</t>
  </si>
  <si>
    <t>sulprofos</t>
  </si>
  <si>
    <t>35400-43-2</t>
  </si>
  <si>
    <t>218</t>
  </si>
  <si>
    <t>swep</t>
  </si>
  <si>
    <t>1918-18-9</t>
  </si>
  <si>
    <t>pestFungicide; pestHerbicide</t>
  </si>
  <si>
    <t>219</t>
  </si>
  <si>
    <t>sulfallate</t>
  </si>
  <si>
    <t>95-06-7</t>
  </si>
  <si>
    <t>220</t>
  </si>
  <si>
    <t>tebuthiuron</t>
  </si>
  <si>
    <t>34014-18-1</t>
  </si>
  <si>
    <t>TX000928</t>
  </si>
  <si>
    <t>2977</t>
  </si>
  <si>
    <t>221</t>
  </si>
  <si>
    <t>terbacil</t>
  </si>
  <si>
    <t>5902-51-2</t>
  </si>
  <si>
    <t>TX000888</t>
  </si>
  <si>
    <t>2983</t>
  </si>
  <si>
    <t>222</t>
  </si>
  <si>
    <t>terbufos</t>
  </si>
  <si>
    <t>13071-79-9</t>
  </si>
  <si>
    <t>TX007696</t>
  </si>
  <si>
    <t>2984</t>
  </si>
  <si>
    <t>223</t>
  </si>
  <si>
    <t>terbuthylazine</t>
  </si>
  <si>
    <t>5915-41-3</t>
  </si>
  <si>
    <t>TX009882</t>
  </si>
  <si>
    <t>2985</t>
  </si>
  <si>
    <t>224</t>
  </si>
  <si>
    <t>terbutryn</t>
  </si>
  <si>
    <t>886-50-0</t>
  </si>
  <si>
    <t>225</t>
  </si>
  <si>
    <t>tetraethyl pyrophosphate</t>
  </si>
  <si>
    <t>107-49-3</t>
  </si>
  <si>
    <t>226</t>
  </si>
  <si>
    <t>trans-nonachlor</t>
  </si>
  <si>
    <t>39765-80-5</t>
  </si>
  <si>
    <t>tri-p-tolyl phosphate</t>
  </si>
  <si>
    <t>78-32-0</t>
  </si>
  <si>
    <t>228</t>
  </si>
  <si>
    <t>triallate</t>
  </si>
  <si>
    <t>2303-17-5</t>
  </si>
  <si>
    <t>TX002823</t>
  </si>
  <si>
    <t>3099</t>
  </si>
  <si>
    <t>229</t>
  </si>
  <si>
    <t>trichloronate</t>
  </si>
  <si>
    <t>327-98-0</t>
  </si>
  <si>
    <t>230</t>
  </si>
  <si>
    <t>tricyclazole</t>
  </si>
  <si>
    <t>41814-78-2</t>
  </si>
  <si>
    <t>231</t>
  </si>
  <si>
    <t>trifluralin</t>
  </si>
  <si>
    <t>1582-09-8</t>
  </si>
  <si>
    <t>TX000912</t>
  </si>
  <si>
    <t>3128</t>
  </si>
  <si>
    <t>232</t>
  </si>
  <si>
    <t>tpp</t>
  </si>
  <si>
    <t>115-86-6</t>
  </si>
  <si>
    <t>Flame Retardant</t>
  </si>
  <si>
    <t>C64688; NTP DNT 91-G11; TX007282</t>
  </si>
  <si>
    <t>3138</t>
  </si>
  <si>
    <t>233</t>
  </si>
  <si>
    <t>vernolate</t>
  </si>
  <si>
    <t>1929-77-7</t>
  </si>
  <si>
    <t>TX004463</t>
  </si>
  <si>
    <t>3193</t>
  </si>
  <si>
    <t>234</t>
  </si>
  <si>
    <t>2,4,6-tribromophenol</t>
  </si>
  <si>
    <t>118-79-6</t>
  </si>
  <si>
    <t>C73039</t>
  </si>
  <si>
    <t>EPA Flame Retardant Specific Plates</t>
  </si>
  <si>
    <t>235</t>
  </si>
  <si>
    <t>biphenyl</t>
  </si>
  <si>
    <t>92-52-4</t>
  </si>
  <si>
    <t>TX004371</t>
  </si>
  <si>
    <t>1199</t>
  </si>
  <si>
    <t>236</t>
  </si>
  <si>
    <t>ethoprophos</t>
  </si>
  <si>
    <t>13194-48-4</t>
  </si>
  <si>
    <t>TX011590</t>
  </si>
  <si>
    <t>1780</t>
  </si>
  <si>
    <t>237</t>
  </si>
  <si>
    <t>pcb 5</t>
  </si>
  <si>
    <t>16605-91-7</t>
  </si>
  <si>
    <t>238</t>
  </si>
  <si>
    <t>cyanazine</t>
  </si>
  <si>
    <t>21725-46-2</t>
  </si>
  <si>
    <t>TX000814</t>
  </si>
  <si>
    <t>239</t>
  </si>
  <si>
    <t>triadimefon</t>
  </si>
  <si>
    <t>43121-43-3</t>
  </si>
  <si>
    <t>NTP-4001204798-C1; TX000908</t>
  </si>
  <si>
    <t>3097</t>
  </si>
  <si>
    <t>240</t>
  </si>
  <si>
    <t>pbb 15</t>
  </si>
  <si>
    <t>92-86-4</t>
  </si>
  <si>
    <t>flameRetardant; PBB</t>
  </si>
  <si>
    <t>241</t>
  </si>
  <si>
    <t>alpha, alpha-dibromo-m-xylene</t>
  </si>
  <si>
    <t>626-15-3</t>
  </si>
  <si>
    <t>flameRetardant; industrial</t>
  </si>
  <si>
    <t>242</t>
  </si>
  <si>
    <t>bisphenol a</t>
  </si>
  <si>
    <t>80-05-7</t>
  </si>
  <si>
    <t>NTP-4001204798-B3; NTP DNT 91-C11; TX012317; TX112317; TX212317</t>
  </si>
  <si>
    <t>1211</t>
  </si>
  <si>
    <t>Bioprinter; Bioprinter; Liquid Handler; Liquid Handler; Liquid Handler</t>
  </si>
  <si>
    <t>NTP BPA Analogue; NTP DNT Project; ToxCast Ph 1 and 2; ToxCast Ph 1 and 2; ToxCast Ph 1 and 2</t>
  </si>
  <si>
    <t>243</t>
  </si>
  <si>
    <t>ethiofencarb</t>
  </si>
  <si>
    <t>29973-13-5</t>
  </si>
  <si>
    <t>methiocarb sulfone</t>
  </si>
  <si>
    <t>2179-25-1</t>
  </si>
  <si>
    <t>245</t>
  </si>
  <si>
    <t>napropamide</t>
  </si>
  <si>
    <t>15299-99-7</t>
  </si>
  <si>
    <t>TX000870</t>
  </si>
  <si>
    <t>2329</t>
  </si>
  <si>
    <t>tebuconazole</t>
  </si>
  <si>
    <t>107534-96-3</t>
  </si>
  <si>
    <t>NTP-4001204798-D1; NTP DNT 91-G5; TX006984</t>
  </si>
  <si>
    <t>2973</t>
  </si>
  <si>
    <t>NTP BPA Analogue; NTP DNT Project; ToxCast Ph 1 and 2</t>
  </si>
  <si>
    <t>myclobutanil</t>
  </si>
  <si>
    <t>88671-89-0</t>
  </si>
  <si>
    <t>NTP-4001204798-D11; TX000771</t>
  </si>
  <si>
    <t>2240</t>
  </si>
  <si>
    <t>bifenthrin</t>
  </si>
  <si>
    <t>82657-04-3</t>
  </si>
  <si>
    <t>NTP-4001204798-C2; TX000966</t>
  </si>
  <si>
    <t>1198</t>
  </si>
  <si>
    <t>249</t>
  </si>
  <si>
    <t>pendimethalin</t>
  </si>
  <si>
    <t>40487-42-1</t>
  </si>
  <si>
    <t>TX000904</t>
  </si>
  <si>
    <t>2568</t>
  </si>
  <si>
    <t>deltamethrin</t>
  </si>
  <si>
    <t>52918-63-5</t>
  </si>
  <si>
    <t>NTP DNT 91-D10</t>
  </si>
  <si>
    <t>vinclozolin</t>
  </si>
  <si>
    <t>50471-44-8</t>
  </si>
  <si>
    <t>TX000744</t>
  </si>
  <si>
    <t>3194</t>
  </si>
  <si>
    <t>propanil</t>
  </si>
  <si>
    <t>709-98-8</t>
  </si>
  <si>
    <t>TX001536</t>
  </si>
  <si>
    <t>2711</t>
  </si>
  <si>
    <t>253</t>
  </si>
  <si>
    <t>endosulfan i</t>
  </si>
  <si>
    <t>959-98-8</t>
  </si>
  <si>
    <t>254</t>
  </si>
  <si>
    <t>iprodione</t>
  </si>
  <si>
    <t>36734-19-7</t>
  </si>
  <si>
    <t>NTP-4001204798-C10; TX000864</t>
  </si>
  <si>
    <t>1975</t>
  </si>
  <si>
    <t>255</t>
  </si>
  <si>
    <t>methamidophos</t>
  </si>
  <si>
    <t>10265-92-6</t>
  </si>
  <si>
    <t>TX000900</t>
  </si>
  <si>
    <t>2135</t>
  </si>
  <si>
    <t>256</t>
  </si>
  <si>
    <t>pirimiphos-methyl</t>
  </si>
  <si>
    <t>29232-93-7</t>
  </si>
  <si>
    <t>TX002825</t>
  </si>
  <si>
    <t>2660</t>
  </si>
  <si>
    <t>257</t>
  </si>
  <si>
    <t>fenitrothion</t>
  </si>
  <si>
    <t>122-14-5</t>
  </si>
  <si>
    <t>TX000916</t>
  </si>
  <si>
    <t>1821</t>
  </si>
  <si>
    <t>258</t>
  </si>
  <si>
    <t>pcb 103</t>
  </si>
  <si>
    <t>60145-21-3</t>
  </si>
  <si>
    <t>259</t>
  </si>
  <si>
    <t>pcb 183</t>
  </si>
  <si>
    <t>52663-69-1</t>
  </si>
  <si>
    <t>260</t>
  </si>
  <si>
    <t>pcb 170</t>
  </si>
  <si>
    <t>35065-30-6</t>
  </si>
  <si>
    <t>261</t>
  </si>
  <si>
    <t>pcb 158</t>
  </si>
  <si>
    <t>74472-42-7</t>
  </si>
  <si>
    <t>262</t>
  </si>
  <si>
    <t>pcb 138</t>
  </si>
  <si>
    <t>35065-28-2</t>
  </si>
  <si>
    <t>263</t>
  </si>
  <si>
    <t>pcb 128</t>
  </si>
  <si>
    <t>38380-07-3</t>
  </si>
  <si>
    <t>264</t>
  </si>
  <si>
    <t>pcb 126</t>
  </si>
  <si>
    <t>57465-28-8</t>
  </si>
  <si>
    <t>PCB,</t>
  </si>
  <si>
    <t>438; 3316</t>
  </si>
  <si>
    <t>265</t>
  </si>
  <si>
    <t>pcb 118</t>
  </si>
  <si>
    <t>31508-00-6</t>
  </si>
  <si>
    <t>266</t>
  </si>
  <si>
    <t>pcb 105</t>
  </si>
  <si>
    <t>32598-14-4</t>
  </si>
  <si>
    <t>267</t>
  </si>
  <si>
    <t>pcb 99</t>
  </si>
  <si>
    <t>38380-01-7</t>
  </si>
  <si>
    <t>268</t>
  </si>
  <si>
    <t>pcb 82</t>
  </si>
  <si>
    <t>52663-62-4</t>
  </si>
  <si>
    <t>269</t>
  </si>
  <si>
    <t>pcb 77</t>
  </si>
  <si>
    <t>32598-13-3</t>
  </si>
  <si>
    <t>439</t>
  </si>
  <si>
    <t>270</t>
  </si>
  <si>
    <t>pcb 37</t>
  </si>
  <si>
    <t>38444-90-5</t>
  </si>
  <si>
    <t>271</t>
  </si>
  <si>
    <t>pcb 166</t>
  </si>
  <si>
    <t>41411-63-6</t>
  </si>
  <si>
    <t>272</t>
  </si>
  <si>
    <t>pcb 49</t>
  </si>
  <si>
    <t>41464-40-8</t>
  </si>
  <si>
    <t>273</t>
  </si>
  <si>
    <t>pcb 180</t>
  </si>
  <si>
    <t>35065-29-3</t>
  </si>
  <si>
    <t>274</t>
  </si>
  <si>
    <t>pcb 156</t>
  </si>
  <si>
    <t>38380-08-4</t>
  </si>
  <si>
    <t>275</t>
  </si>
  <si>
    <t>pcb 153</t>
  </si>
  <si>
    <t>35065-27-1</t>
  </si>
  <si>
    <t>276</t>
  </si>
  <si>
    <t>pcb 101</t>
  </si>
  <si>
    <t>37680-73-2</t>
  </si>
  <si>
    <t>277</t>
  </si>
  <si>
    <t>pcb 52</t>
  </si>
  <si>
    <t>35693-99-3</t>
  </si>
  <si>
    <t>278</t>
  </si>
  <si>
    <t>pcb 7</t>
  </si>
  <si>
    <t>33284-50-3</t>
  </si>
  <si>
    <t>279</t>
  </si>
  <si>
    <t>pcb 169</t>
  </si>
  <si>
    <t>32774-16-6</t>
  </si>
  <si>
    <t>3337</t>
  </si>
  <si>
    <t>280</t>
  </si>
  <si>
    <t>pcb 114</t>
  </si>
  <si>
    <t>74472-37-0</t>
  </si>
  <si>
    <t>313</t>
  </si>
  <si>
    <t>pcb 8</t>
  </si>
  <si>
    <t>34883-43-7</t>
  </si>
  <si>
    <t>323</t>
  </si>
  <si>
    <t>pcb 28</t>
  </si>
  <si>
    <t>7012-37-5</t>
  </si>
  <si>
    <t>324</t>
  </si>
  <si>
    <t>pcb 44</t>
  </si>
  <si>
    <t>41464-39-5</t>
  </si>
  <si>
    <t>325</t>
  </si>
  <si>
    <t>pcb 60</t>
  </si>
  <si>
    <t>33025-41-1</t>
  </si>
  <si>
    <t>326</t>
  </si>
  <si>
    <t>pcb 70</t>
  </si>
  <si>
    <t>32598-11-1</t>
  </si>
  <si>
    <t>327</t>
  </si>
  <si>
    <t>pcb 74</t>
  </si>
  <si>
    <t>32690-93-0</t>
  </si>
  <si>
    <t>328</t>
  </si>
  <si>
    <t>pcb 87</t>
  </si>
  <si>
    <t>38380-02-8</t>
  </si>
  <si>
    <t>pcb 179</t>
  </si>
  <si>
    <t>52663-64-6</t>
  </si>
  <si>
    <t>pcb 187</t>
  </si>
  <si>
    <t>52663-68-0</t>
  </si>
  <si>
    <t>331</t>
  </si>
  <si>
    <t>pcb 189</t>
  </si>
  <si>
    <t>39635-31-9</t>
  </si>
  <si>
    <t>334</t>
  </si>
  <si>
    <t>p,p'-dicofol</t>
  </si>
  <si>
    <t>115-32-2</t>
  </si>
  <si>
    <t>TX001420</t>
  </si>
  <si>
    <t>1637</t>
  </si>
  <si>
    <t>335</t>
  </si>
  <si>
    <t>perthane</t>
  </si>
  <si>
    <t>72-56-0</t>
  </si>
  <si>
    <t>336</t>
  </si>
  <si>
    <t>azinphos-ethyl</t>
  </si>
  <si>
    <t>2642-71-9</t>
  </si>
  <si>
    <t>337</t>
  </si>
  <si>
    <t>pcb 15</t>
  </si>
  <si>
    <t>2050-68-2</t>
  </si>
  <si>
    <t>esfenvalerate</t>
  </si>
  <si>
    <t>66230-04-4</t>
  </si>
  <si>
    <t>TX000700</t>
  </si>
  <si>
    <t>1769</t>
  </si>
  <si>
    <t>339</t>
  </si>
  <si>
    <t>fenvalerate</t>
  </si>
  <si>
    <t>51630-58-1</t>
  </si>
  <si>
    <t>tilt</t>
  </si>
  <si>
    <t>60207-90-1</t>
  </si>
  <si>
    <t>NTP-4001204798-C3; TX000926</t>
  </si>
  <si>
    <t>2718</t>
  </si>
  <si>
    <t>341</t>
  </si>
  <si>
    <t>tributyl phosphate</t>
  </si>
  <si>
    <t>126-73-8</t>
  </si>
  <si>
    <t>C81313; TX002967</t>
  </si>
  <si>
    <t>3102; 2649</t>
  </si>
  <si>
    <t>342</t>
  </si>
  <si>
    <t>oxadiazon</t>
  </si>
  <si>
    <t>19666-30-9</t>
  </si>
  <si>
    <t>TX000934</t>
  </si>
  <si>
    <t>2495</t>
  </si>
  <si>
    <t>343</t>
  </si>
  <si>
    <t>n,n-diethyl-m-toluamide</t>
  </si>
  <si>
    <t>134-62-3</t>
  </si>
  <si>
    <t>TX000868</t>
  </si>
  <si>
    <t>2406</t>
  </si>
  <si>
    <t>346</t>
  </si>
  <si>
    <t>pcb 18</t>
  </si>
  <si>
    <t>37680-65-2</t>
  </si>
  <si>
    <t>347</t>
  </si>
  <si>
    <t>pcb 66</t>
  </si>
  <si>
    <t>32598-10-0</t>
  </si>
  <si>
    <t>348</t>
  </si>
  <si>
    <t>pcb 95</t>
  </si>
  <si>
    <t>38379-99-6</t>
  </si>
  <si>
    <t>349</t>
  </si>
  <si>
    <t>pcb 110</t>
  </si>
  <si>
    <t>38380-03-9</t>
  </si>
  <si>
    <t>350</t>
  </si>
  <si>
    <t>pcb 146</t>
  </si>
  <si>
    <t>51908-16-8</t>
  </si>
  <si>
    <t>351</t>
  </si>
  <si>
    <t>pcb 149</t>
  </si>
  <si>
    <t>38380-04-0</t>
  </si>
  <si>
    <t>352</t>
  </si>
  <si>
    <t>pcb 151</t>
  </si>
  <si>
    <t>52663-63-5</t>
  </si>
  <si>
    <t>353</t>
  </si>
  <si>
    <t>pcb 177</t>
  </si>
  <si>
    <t>52663-70-4</t>
  </si>
  <si>
    <t>354</t>
  </si>
  <si>
    <t>pcb 194</t>
  </si>
  <si>
    <t>35694-08-7</t>
  </si>
  <si>
    <t>355</t>
  </si>
  <si>
    <t>pbb 1</t>
  </si>
  <si>
    <t>2052-07-5</t>
  </si>
  <si>
    <t>356</t>
  </si>
  <si>
    <t>pbde 28</t>
  </si>
  <si>
    <t>41318-75-6</t>
  </si>
  <si>
    <t>flameRetardant; PBDE</t>
  </si>
  <si>
    <t>357</t>
  </si>
  <si>
    <t>pbde 49</t>
  </si>
  <si>
    <t>243982-82-3</t>
  </si>
  <si>
    <t>358</t>
  </si>
  <si>
    <t>pbde 99</t>
  </si>
  <si>
    <t>60348-60-9</t>
  </si>
  <si>
    <t>NTP DNT 91-A8</t>
  </si>
  <si>
    <t>359</t>
  </si>
  <si>
    <t>pbde 153</t>
  </si>
  <si>
    <t>68631-49-2</t>
  </si>
  <si>
    <t>NTP DNT 91-A6</t>
  </si>
  <si>
    <t>pcb 31</t>
  </si>
  <si>
    <t>16606-02-3</t>
  </si>
  <si>
    <t>361</t>
  </si>
  <si>
    <t>pcb 45</t>
  </si>
  <si>
    <t>70362-45-7</t>
  </si>
  <si>
    <t>362</t>
  </si>
  <si>
    <t>pcb 56</t>
  </si>
  <si>
    <t>41464-43-1</t>
  </si>
  <si>
    <t>363</t>
  </si>
  <si>
    <t>pcb 92</t>
  </si>
  <si>
    <t>52663-61-3</t>
  </si>
  <si>
    <t>364</t>
  </si>
  <si>
    <t>pcb 130</t>
  </si>
  <si>
    <t>52663-66-8</t>
  </si>
  <si>
    <t>pcb 157</t>
  </si>
  <si>
    <t>69782-90-7</t>
  </si>
  <si>
    <t>366</t>
  </si>
  <si>
    <t>pcb 167</t>
  </si>
  <si>
    <t>52663-72-6</t>
  </si>
  <si>
    <t>367</t>
  </si>
  <si>
    <t>pcb 178</t>
  </si>
  <si>
    <t>52663-67-9</t>
  </si>
  <si>
    <t>368</t>
  </si>
  <si>
    <t>pcb 202</t>
  </si>
  <si>
    <t>2136-99-4</t>
  </si>
  <si>
    <t>369</t>
  </si>
  <si>
    <t>pbde 17</t>
  </si>
  <si>
    <t>147217-75-2</t>
  </si>
  <si>
    <t>370</t>
  </si>
  <si>
    <t>pbde 47</t>
  </si>
  <si>
    <t>5436-43-1</t>
  </si>
  <si>
    <t>NTP DNT 91-A9</t>
  </si>
  <si>
    <t>371</t>
  </si>
  <si>
    <t>pbde 66</t>
  </si>
  <si>
    <t>189084-61-5</t>
  </si>
  <si>
    <t>372</t>
  </si>
  <si>
    <t>pbde 75</t>
  </si>
  <si>
    <t>189084-63-7</t>
  </si>
  <si>
    <t>373</t>
  </si>
  <si>
    <t>pbde 85</t>
  </si>
  <si>
    <t>182346-21-0</t>
  </si>
  <si>
    <t>374</t>
  </si>
  <si>
    <t>pbde 100</t>
  </si>
  <si>
    <t>189084-64-8</t>
  </si>
  <si>
    <t>375</t>
  </si>
  <si>
    <t>pbde 154</t>
  </si>
  <si>
    <t>207122-15-4</t>
  </si>
  <si>
    <t>pbde 155</t>
  </si>
  <si>
    <t>35854-94-5</t>
  </si>
  <si>
    <t>377</t>
  </si>
  <si>
    <t>pcb 107</t>
  </si>
  <si>
    <t>70424-68-9</t>
  </si>
  <si>
    <t>378</t>
  </si>
  <si>
    <t>pcb 132</t>
  </si>
  <si>
    <t>38380-05-1</t>
  </si>
  <si>
    <t>380</t>
  </si>
  <si>
    <t>pcb 63</t>
  </si>
  <si>
    <t>74472-34-7</t>
  </si>
  <si>
    <t>pcb 163</t>
  </si>
  <si>
    <t>74472-44-9</t>
  </si>
  <si>
    <t>382</t>
  </si>
  <si>
    <t>pcb 1</t>
  </si>
  <si>
    <t>2051-60-7</t>
  </si>
  <si>
    <t>383</t>
  </si>
  <si>
    <t>pcb 2</t>
  </si>
  <si>
    <t>2051-61-8</t>
  </si>
  <si>
    <t>384</t>
  </si>
  <si>
    <t>pcb 3</t>
  </si>
  <si>
    <t>2051-62-9</t>
  </si>
  <si>
    <t>385</t>
  </si>
  <si>
    <t>pcb 4</t>
  </si>
  <si>
    <t>13029-08-8</t>
  </si>
  <si>
    <t>386</t>
  </si>
  <si>
    <t>pcb 6</t>
  </si>
  <si>
    <t>25569-80-6</t>
  </si>
  <si>
    <t>387</t>
  </si>
  <si>
    <t>pcb 9</t>
  </si>
  <si>
    <t>34883-39-1</t>
  </si>
  <si>
    <t>388</t>
  </si>
  <si>
    <t>pcb 10</t>
  </si>
  <si>
    <t>33146-45-1</t>
  </si>
  <si>
    <t>pcb 11</t>
  </si>
  <si>
    <t>2050-67-1</t>
  </si>
  <si>
    <t>pcb 12</t>
  </si>
  <si>
    <t>2974-92-7</t>
  </si>
  <si>
    <t>391</t>
  </si>
  <si>
    <t>pcb 13</t>
  </si>
  <si>
    <t>2974-90-5</t>
  </si>
  <si>
    <t>392</t>
  </si>
  <si>
    <t>pcb 14</t>
  </si>
  <si>
    <t>34883-41-5</t>
  </si>
  <si>
    <t>393</t>
  </si>
  <si>
    <t>pcb 16</t>
  </si>
  <si>
    <t>38444-78-9</t>
  </si>
  <si>
    <t>394</t>
  </si>
  <si>
    <t>pcb 17</t>
  </si>
  <si>
    <t>37680-66-3</t>
  </si>
  <si>
    <t>395</t>
  </si>
  <si>
    <t>pcb 19</t>
  </si>
  <si>
    <t>38444-73-4</t>
  </si>
  <si>
    <t>396</t>
  </si>
  <si>
    <t>pcb 20</t>
  </si>
  <si>
    <t>38444-84-7</t>
  </si>
  <si>
    <t>397</t>
  </si>
  <si>
    <t>pcb 21</t>
  </si>
  <si>
    <t>55702-46-0</t>
  </si>
  <si>
    <t>398</t>
  </si>
  <si>
    <t>pcb 22</t>
  </si>
  <si>
    <t>38444-85-8</t>
  </si>
  <si>
    <t>399</t>
  </si>
  <si>
    <t>pcb 23</t>
  </si>
  <si>
    <t>55720-44-0</t>
  </si>
  <si>
    <t>pcb 24</t>
  </si>
  <si>
    <t>55702-45-9</t>
  </si>
  <si>
    <t>401</t>
  </si>
  <si>
    <t>pcb 25</t>
  </si>
  <si>
    <t>55712-37-3</t>
  </si>
  <si>
    <t>402</t>
  </si>
  <si>
    <t>pcb 26</t>
  </si>
  <si>
    <t>38444-81-4</t>
  </si>
  <si>
    <t>pcb 27</t>
  </si>
  <si>
    <t>38444-76-7</t>
  </si>
  <si>
    <t>pcb 29</t>
  </si>
  <si>
    <t>15862-07-4</t>
  </si>
  <si>
    <t>405</t>
  </si>
  <si>
    <t>pcb 30</t>
  </si>
  <si>
    <t>35693-92-6</t>
  </si>
  <si>
    <t>pcb 32</t>
  </si>
  <si>
    <t>38444-77-8</t>
  </si>
  <si>
    <t>407</t>
  </si>
  <si>
    <t>pcb 33</t>
  </si>
  <si>
    <t>38444-86-9</t>
  </si>
  <si>
    <t>408</t>
  </si>
  <si>
    <t>pcb 34</t>
  </si>
  <si>
    <t>37680-68-5</t>
  </si>
  <si>
    <t>pcb 35</t>
  </si>
  <si>
    <t>37680-69-6</t>
  </si>
  <si>
    <t>pcb 36</t>
  </si>
  <si>
    <t>38444-87-0</t>
  </si>
  <si>
    <t>411</t>
  </si>
  <si>
    <t>pcb 38</t>
  </si>
  <si>
    <t>53555-66-1</t>
  </si>
  <si>
    <t>pcb 39</t>
  </si>
  <si>
    <t>38444-88-1</t>
  </si>
  <si>
    <t>pcb 40</t>
  </si>
  <si>
    <t>38444-93-8</t>
  </si>
  <si>
    <t>pcb 41</t>
  </si>
  <si>
    <t>52663-59-9</t>
  </si>
  <si>
    <t>pcb 42</t>
  </si>
  <si>
    <t>36559-22-5</t>
  </si>
  <si>
    <t>pcb 43</t>
  </si>
  <si>
    <t>70362-46-8</t>
  </si>
  <si>
    <t>pcb 46</t>
  </si>
  <si>
    <t>41464-47-5</t>
  </si>
  <si>
    <t>pcb 47</t>
  </si>
  <si>
    <t>2437-79-8</t>
  </si>
  <si>
    <t>pcb 48</t>
  </si>
  <si>
    <t>70362-47-9</t>
  </si>
  <si>
    <t>pcb 50</t>
  </si>
  <si>
    <t>62796-65-0</t>
  </si>
  <si>
    <t>421</t>
  </si>
  <si>
    <t>pcb 51</t>
  </si>
  <si>
    <t>68194-04-7</t>
  </si>
  <si>
    <t>422</t>
  </si>
  <si>
    <t>pcb 53</t>
  </si>
  <si>
    <t>41464-41-9</t>
  </si>
  <si>
    <t>423</t>
  </si>
  <si>
    <t>pcb 54</t>
  </si>
  <si>
    <t>15968-05-5</t>
  </si>
  <si>
    <t>424</t>
  </si>
  <si>
    <t>pcb 55</t>
  </si>
  <si>
    <t>74338-24-2</t>
  </si>
  <si>
    <t>425</t>
  </si>
  <si>
    <t>pcb 57</t>
  </si>
  <si>
    <t>70424-67-8</t>
  </si>
  <si>
    <t>426</t>
  </si>
  <si>
    <t>pcb 58</t>
  </si>
  <si>
    <t>41464-49-7</t>
  </si>
  <si>
    <t>427</t>
  </si>
  <si>
    <t>pcb 59</t>
  </si>
  <si>
    <t>74472-33-6</t>
  </si>
  <si>
    <t>428</t>
  </si>
  <si>
    <t>pcb 61</t>
  </si>
  <si>
    <t>33284-53-6</t>
  </si>
  <si>
    <t>429</t>
  </si>
  <si>
    <t>pcb 62</t>
  </si>
  <si>
    <t>54230-22-7</t>
  </si>
  <si>
    <t>430</t>
  </si>
  <si>
    <t>pcb 64</t>
  </si>
  <si>
    <t>52663-58-8</t>
  </si>
  <si>
    <t>431</t>
  </si>
  <si>
    <t>pcb 65</t>
  </si>
  <si>
    <t>33284-54-7</t>
  </si>
  <si>
    <t>432</t>
  </si>
  <si>
    <t>pcb 67</t>
  </si>
  <si>
    <t>73575-53-8</t>
  </si>
  <si>
    <t>433</t>
  </si>
  <si>
    <t>pcb 68</t>
  </si>
  <si>
    <t>73575-52-7</t>
  </si>
  <si>
    <t>434</t>
  </si>
  <si>
    <t>pcb 69</t>
  </si>
  <si>
    <t>60233-24-1</t>
  </si>
  <si>
    <t>435</t>
  </si>
  <si>
    <t>pcb 71</t>
  </si>
  <si>
    <t>41464-46-4</t>
  </si>
  <si>
    <t>436</t>
  </si>
  <si>
    <t>pcb 72</t>
  </si>
  <si>
    <t>41464-42-0</t>
  </si>
  <si>
    <t>437</t>
  </si>
  <si>
    <t>pcb 73</t>
  </si>
  <si>
    <t>74338-23-1</t>
  </si>
  <si>
    <t>438</t>
  </si>
  <si>
    <t>pcb 75</t>
  </si>
  <si>
    <t>32598-12-2</t>
  </si>
  <si>
    <t>pcb 76</t>
  </si>
  <si>
    <t>70362-48-0</t>
  </si>
  <si>
    <t>440</t>
  </si>
  <si>
    <t>pcb 78</t>
  </si>
  <si>
    <t>70362-49-1</t>
  </si>
  <si>
    <t>441</t>
  </si>
  <si>
    <t>pcb 79</t>
  </si>
  <si>
    <t>41464-48-6</t>
  </si>
  <si>
    <t>442</t>
  </si>
  <si>
    <t>pcb 80</t>
  </si>
  <si>
    <t>33284-52-5</t>
  </si>
  <si>
    <t>443</t>
  </si>
  <si>
    <t>pcb 81</t>
  </si>
  <si>
    <t>70362-50-4</t>
  </si>
  <si>
    <t>444</t>
  </si>
  <si>
    <t>pcb 83</t>
  </si>
  <si>
    <t>60145-20-2</t>
  </si>
  <si>
    <t>445</t>
  </si>
  <si>
    <t>pcb 84</t>
  </si>
  <si>
    <t>52663-60-2</t>
  </si>
  <si>
    <t>446</t>
  </si>
  <si>
    <t>pcb 85</t>
  </si>
  <si>
    <t>65510-45-4</t>
  </si>
  <si>
    <t>pcb 86</t>
  </si>
  <si>
    <t>55312-69-1</t>
  </si>
  <si>
    <t>pcb 88</t>
  </si>
  <si>
    <t>55215-17-3</t>
  </si>
  <si>
    <t>449</t>
  </si>
  <si>
    <t>pcb 89</t>
  </si>
  <si>
    <t>73575-57-2</t>
  </si>
  <si>
    <t>450</t>
  </si>
  <si>
    <t>pcb 90</t>
  </si>
  <si>
    <t>68194-07-0</t>
  </si>
  <si>
    <t>451</t>
  </si>
  <si>
    <t>pcb 91</t>
  </si>
  <si>
    <t>68194-05-8</t>
  </si>
  <si>
    <t>452</t>
  </si>
  <si>
    <t>pcb 93</t>
  </si>
  <si>
    <t>73575-56-1</t>
  </si>
  <si>
    <t>453</t>
  </si>
  <si>
    <t>pcb 94</t>
  </si>
  <si>
    <t>73575-55-0</t>
  </si>
  <si>
    <t>454</t>
  </si>
  <si>
    <t>pcb 96</t>
  </si>
  <si>
    <t>73575-54-9</t>
  </si>
  <si>
    <t>455</t>
  </si>
  <si>
    <t>pcb 97</t>
  </si>
  <si>
    <t>41464-51-1</t>
  </si>
  <si>
    <t>456</t>
  </si>
  <si>
    <t>pcb 102</t>
  </si>
  <si>
    <t>68194-06-9</t>
  </si>
  <si>
    <t>457</t>
  </si>
  <si>
    <t>pcb 104</t>
  </si>
  <si>
    <t>56558-16-8</t>
  </si>
  <si>
    <t>458</t>
  </si>
  <si>
    <t>pcb 106</t>
  </si>
  <si>
    <t>70424-69-0</t>
  </si>
  <si>
    <t>459</t>
  </si>
  <si>
    <t>pcb 108</t>
  </si>
  <si>
    <t>70362-41-3</t>
  </si>
  <si>
    <t>460</t>
  </si>
  <si>
    <t>pcb 109</t>
  </si>
  <si>
    <t>74472-35-8</t>
  </si>
  <si>
    <t>461</t>
  </si>
  <si>
    <t>pcb 111</t>
  </si>
  <si>
    <t>39635-32-0</t>
  </si>
  <si>
    <t>462</t>
  </si>
  <si>
    <t>pcb 112</t>
  </si>
  <si>
    <t>74472-36-9</t>
  </si>
  <si>
    <t>463</t>
  </si>
  <si>
    <t>pcb 113</t>
  </si>
  <si>
    <t>68194-10-5</t>
  </si>
  <si>
    <t>464</t>
  </si>
  <si>
    <t>pcb 115</t>
  </si>
  <si>
    <t>74472-38-1</t>
  </si>
  <si>
    <t>465</t>
  </si>
  <si>
    <t>pcb 116</t>
  </si>
  <si>
    <t>18259-05-7</t>
  </si>
  <si>
    <t>466</t>
  </si>
  <si>
    <t>pcb 117</t>
  </si>
  <si>
    <t>68194-11-6</t>
  </si>
  <si>
    <t>467</t>
  </si>
  <si>
    <t>pcb 119</t>
  </si>
  <si>
    <t>56558-17-9</t>
  </si>
  <si>
    <t>468</t>
  </si>
  <si>
    <t>pcb 120</t>
  </si>
  <si>
    <t>68194-12-7</t>
  </si>
  <si>
    <t>469</t>
  </si>
  <si>
    <t>pcb 121</t>
  </si>
  <si>
    <t>56558-18-0</t>
  </si>
  <si>
    <t>pcb 122</t>
  </si>
  <si>
    <t>76842-07-4</t>
  </si>
  <si>
    <t>471</t>
  </si>
  <si>
    <t>pcb 123</t>
  </si>
  <si>
    <t>65510-44-3</t>
  </si>
  <si>
    <t>472</t>
  </si>
  <si>
    <t>pcb 124</t>
  </si>
  <si>
    <t>70424-70-3</t>
  </si>
  <si>
    <t>473</t>
  </si>
  <si>
    <t>pcb 125</t>
  </si>
  <si>
    <t>74472-39-2</t>
  </si>
  <si>
    <t>474</t>
  </si>
  <si>
    <t>pcb 127</t>
  </si>
  <si>
    <t>39635-33-1</t>
  </si>
  <si>
    <t>475</t>
  </si>
  <si>
    <t>pcb 129</t>
  </si>
  <si>
    <t>55215-18-4</t>
  </si>
  <si>
    <t>476</t>
  </si>
  <si>
    <t>pcb 131</t>
  </si>
  <si>
    <t>61798-70-7</t>
  </si>
  <si>
    <t>477</t>
  </si>
  <si>
    <t>pcb 133</t>
  </si>
  <si>
    <t>35694-04-3</t>
  </si>
  <si>
    <t>478</t>
  </si>
  <si>
    <t>pcb 134</t>
  </si>
  <si>
    <t>52704-70-8</t>
  </si>
  <si>
    <t>479</t>
  </si>
  <si>
    <t>pcb 135</t>
  </si>
  <si>
    <t>52744-13-5</t>
  </si>
  <si>
    <t>480</t>
  </si>
  <si>
    <t>pcb 136</t>
  </si>
  <si>
    <t>38411-22-2</t>
  </si>
  <si>
    <t>481</t>
  </si>
  <si>
    <t>pcb 137</t>
  </si>
  <si>
    <t>35694-06-5</t>
  </si>
  <si>
    <t>482</t>
  </si>
  <si>
    <t>pcb 139</t>
  </si>
  <si>
    <t>56030-56-9</t>
  </si>
  <si>
    <t>483</t>
  </si>
  <si>
    <t>pcb 140</t>
  </si>
  <si>
    <t>59291-64-4</t>
  </si>
  <si>
    <t>484</t>
  </si>
  <si>
    <t>pcb 141</t>
  </si>
  <si>
    <t>52712-04-6</t>
  </si>
  <si>
    <t>485</t>
  </si>
  <si>
    <t>pcb 142</t>
  </si>
  <si>
    <t>41411-61-4</t>
  </si>
  <si>
    <t>486</t>
  </si>
  <si>
    <t>pcb 143</t>
  </si>
  <si>
    <t>68194-15-0</t>
  </si>
  <si>
    <t>487</t>
  </si>
  <si>
    <t>pcb 144</t>
  </si>
  <si>
    <t>68194-14-9</t>
  </si>
  <si>
    <t>488</t>
  </si>
  <si>
    <t>pcb 145</t>
  </si>
  <si>
    <t>74472-40-5</t>
  </si>
  <si>
    <t>489</t>
  </si>
  <si>
    <t>pcb 147</t>
  </si>
  <si>
    <t>68194-13-8</t>
  </si>
  <si>
    <t>490</t>
  </si>
  <si>
    <t>pcb 148</t>
  </si>
  <si>
    <t>74472-41-6</t>
  </si>
  <si>
    <t>491</t>
  </si>
  <si>
    <t>pcb 150</t>
  </si>
  <si>
    <t>68194-08-1</t>
  </si>
  <si>
    <t>492</t>
  </si>
  <si>
    <t>pcb 152</t>
  </si>
  <si>
    <t>68194-09-2</t>
  </si>
  <si>
    <t>493</t>
  </si>
  <si>
    <t>pcb 154</t>
  </si>
  <si>
    <t>60145-22-4</t>
  </si>
  <si>
    <t>494</t>
  </si>
  <si>
    <t>pcb 155</t>
  </si>
  <si>
    <t>33979-03-2</t>
  </si>
  <si>
    <t>495</t>
  </si>
  <si>
    <t>pcb 159</t>
  </si>
  <si>
    <t>39635-35-3</t>
  </si>
  <si>
    <t>496</t>
  </si>
  <si>
    <t>pcb 160</t>
  </si>
  <si>
    <t>41411-62-5</t>
  </si>
  <si>
    <t>497</t>
  </si>
  <si>
    <t>pcb 161</t>
  </si>
  <si>
    <t>74472-43-8</t>
  </si>
  <si>
    <t>498</t>
  </si>
  <si>
    <t>pcb 162</t>
  </si>
  <si>
    <t>39635-34-2</t>
  </si>
  <si>
    <t>499</t>
  </si>
  <si>
    <t>pcb 164</t>
  </si>
  <si>
    <t>74472-45-0</t>
  </si>
  <si>
    <t>pcb 165</t>
  </si>
  <si>
    <t>74472-46-1</t>
  </si>
  <si>
    <t>pcb 168</t>
  </si>
  <si>
    <t>59291-65-5</t>
  </si>
  <si>
    <t>pcb 171</t>
  </si>
  <si>
    <t>52663-71-5</t>
  </si>
  <si>
    <t>pcb 172</t>
  </si>
  <si>
    <t>52663-74-8</t>
  </si>
  <si>
    <t>pcb 173</t>
  </si>
  <si>
    <t>68194-16-1</t>
  </si>
  <si>
    <t>505</t>
  </si>
  <si>
    <t>pcb 174</t>
  </si>
  <si>
    <t>38411-25-5</t>
  </si>
  <si>
    <t>506</t>
  </si>
  <si>
    <t>pcb 175</t>
  </si>
  <si>
    <t>40186-70-7</t>
  </si>
  <si>
    <t>507</t>
  </si>
  <si>
    <t>pcb 176</t>
  </si>
  <si>
    <t>52663-65-7</t>
  </si>
  <si>
    <t>508</t>
  </si>
  <si>
    <t>pcb 181</t>
  </si>
  <si>
    <t>74472-47-2</t>
  </si>
  <si>
    <t>509</t>
  </si>
  <si>
    <t>pcb 182</t>
  </si>
  <si>
    <t>60145-23-5</t>
  </si>
  <si>
    <t>510</t>
  </si>
  <si>
    <t>pcb 184</t>
  </si>
  <si>
    <t>74472-48-3</t>
  </si>
  <si>
    <t>pcb 185</t>
  </si>
  <si>
    <t>52712-05-7</t>
  </si>
  <si>
    <t>pcb 186</t>
  </si>
  <si>
    <t>74472-49-4</t>
  </si>
  <si>
    <t>pcb 188</t>
  </si>
  <si>
    <t>74487-85-7</t>
  </si>
  <si>
    <t>pcb 190</t>
  </si>
  <si>
    <t>41411-64-7</t>
  </si>
  <si>
    <t>pcb 191</t>
  </si>
  <si>
    <t>74472-50-7</t>
  </si>
  <si>
    <t>516</t>
  </si>
  <si>
    <t>pcb 192</t>
  </si>
  <si>
    <t>74472-51-8</t>
  </si>
  <si>
    <t>pcb 193</t>
  </si>
  <si>
    <t>69782-91-8</t>
  </si>
  <si>
    <t>518</t>
  </si>
  <si>
    <t>pcb 195</t>
  </si>
  <si>
    <t>52663-78-2</t>
  </si>
  <si>
    <t>519</t>
  </si>
  <si>
    <t>pcb 196</t>
  </si>
  <si>
    <t>42740-50-1</t>
  </si>
  <si>
    <t>520</t>
  </si>
  <si>
    <t>pcb 197</t>
  </si>
  <si>
    <t>33091-17-7</t>
  </si>
  <si>
    <t>521</t>
  </si>
  <si>
    <t>pcb 198</t>
  </si>
  <si>
    <t>68194-17-2</t>
  </si>
  <si>
    <t>522</t>
  </si>
  <si>
    <t>pcb 199</t>
  </si>
  <si>
    <t>52663-75-9</t>
  </si>
  <si>
    <t>523</t>
  </si>
  <si>
    <t>pcb 200</t>
  </si>
  <si>
    <t>52663-73-7</t>
  </si>
  <si>
    <t>524</t>
  </si>
  <si>
    <t>pcb 203</t>
  </si>
  <si>
    <t>52663-76-0</t>
  </si>
  <si>
    <t>525</t>
  </si>
  <si>
    <t>pcb 204</t>
  </si>
  <si>
    <t>74472-52-9</t>
  </si>
  <si>
    <t>526</t>
  </si>
  <si>
    <t>pcb 205</t>
  </si>
  <si>
    <t>74472-53-0</t>
  </si>
  <si>
    <t>527</t>
  </si>
  <si>
    <t>pcb 206</t>
  </si>
  <si>
    <t>40186-72-9</t>
  </si>
  <si>
    <t>528</t>
  </si>
  <si>
    <t>pcb 207</t>
  </si>
  <si>
    <t>52663-79-3</t>
  </si>
  <si>
    <t>529</t>
  </si>
  <si>
    <t>pcb 208</t>
  </si>
  <si>
    <t>52663-77-1</t>
  </si>
  <si>
    <t>530</t>
  </si>
  <si>
    <t>dicyclopentadiene</t>
  </si>
  <si>
    <t>77-73-6</t>
  </si>
  <si>
    <t>531</t>
  </si>
  <si>
    <t>dimefox</t>
  </si>
  <si>
    <t>115-26-4</t>
  </si>
  <si>
    <t>532</t>
  </si>
  <si>
    <t>2,4-dimethylaniline</t>
  </si>
  <si>
    <t>95-68-1</t>
  </si>
  <si>
    <t>533</t>
  </si>
  <si>
    <t>2,6-dimethylaniline</t>
  </si>
  <si>
    <t>87-62-7</t>
  </si>
  <si>
    <t>TX002215</t>
  </si>
  <si>
    <t>534</t>
  </si>
  <si>
    <t>ethiolate</t>
  </si>
  <si>
    <t>2941-55-1</t>
  </si>
  <si>
    <t>535</t>
  </si>
  <si>
    <t>3-chloroaniline</t>
  </si>
  <si>
    <t>108-42-9</t>
  </si>
  <si>
    <t>536</t>
  </si>
  <si>
    <t>2-ethyl-1,3-hexanediol</t>
  </si>
  <si>
    <t>94-96-2</t>
  </si>
  <si>
    <t>537</t>
  </si>
  <si>
    <t>allidochlor</t>
  </si>
  <si>
    <t>93-71-0</t>
  </si>
  <si>
    <t>538</t>
  </si>
  <si>
    <t>2,3,5-trichlorophenol</t>
  </si>
  <si>
    <t>933-78-8</t>
  </si>
  <si>
    <t>539</t>
  </si>
  <si>
    <t>2,6-dichlorobenzonitrile</t>
  </si>
  <si>
    <t>1194-65-6</t>
  </si>
  <si>
    <t>NTP-4001204798-D9; TX003711</t>
  </si>
  <si>
    <t>1626</t>
  </si>
  <si>
    <t>540</t>
  </si>
  <si>
    <t>dichlormid</t>
  </si>
  <si>
    <t>37764-25-3</t>
  </si>
  <si>
    <t>pestHerbicide; pestInsecticide</t>
  </si>
  <si>
    <t>541</t>
  </si>
  <si>
    <t>phenoxyacetic acid</t>
  </si>
  <si>
    <t>122-59-8</t>
  </si>
  <si>
    <t>pestProduct</t>
  </si>
  <si>
    <t>542</t>
  </si>
  <si>
    <t>propamocarb</t>
  </si>
  <si>
    <t>24579-73-5</t>
  </si>
  <si>
    <t>543</t>
  </si>
  <si>
    <t>2-phenoxypropionic acid</t>
  </si>
  <si>
    <t>940-31-8</t>
  </si>
  <si>
    <t>pharmacological</t>
  </si>
  <si>
    <t>544</t>
  </si>
  <si>
    <t>3,5-dichloroaniline</t>
  </si>
  <si>
    <t>626-43-7</t>
  </si>
  <si>
    <t>pestGeneral; pharmacological; industrial; aniline</t>
  </si>
  <si>
    <t>545</t>
  </si>
  <si>
    <t>3,4-dichloroaniline</t>
  </si>
  <si>
    <t>95-76-1</t>
  </si>
  <si>
    <t>546</t>
  </si>
  <si>
    <t>acephate</t>
  </si>
  <si>
    <t>30560-19-1</t>
  </si>
  <si>
    <t>TX000715</t>
  </si>
  <si>
    <t>950</t>
  </si>
  <si>
    <t>547</t>
  </si>
  <si>
    <t>chlormefos</t>
  </si>
  <si>
    <t>24934-91-6</t>
  </si>
  <si>
    <t>548</t>
  </si>
  <si>
    <t>nitrapyrin</t>
  </si>
  <si>
    <t>1929-82-4</t>
  </si>
  <si>
    <t>TX000872</t>
  </si>
  <si>
    <t>2367</t>
  </si>
  <si>
    <t>549</t>
  </si>
  <si>
    <t>metolcarb</t>
  </si>
  <si>
    <t>1129-41-5</t>
  </si>
  <si>
    <t>550</t>
  </si>
  <si>
    <t>trichlorfon</t>
  </si>
  <si>
    <t>52-68-6</t>
  </si>
  <si>
    <t>TX000920</t>
  </si>
  <si>
    <t>3107</t>
  </si>
  <si>
    <t>551</t>
  </si>
  <si>
    <t>butylated hydroxyanisole</t>
  </si>
  <si>
    <t>25013-16-5</t>
  </si>
  <si>
    <t>pharmacological; personalCare</t>
  </si>
  <si>
    <t>552</t>
  </si>
  <si>
    <t>methacrifos</t>
  </si>
  <si>
    <t>62610-77-9</t>
  </si>
  <si>
    <t>553</t>
  </si>
  <si>
    <t>o-phenylphenol</t>
  </si>
  <si>
    <t>90-43-7</t>
  </si>
  <si>
    <t>TX002844</t>
  </si>
  <si>
    <t>554</t>
  </si>
  <si>
    <t>crimidine</t>
  </si>
  <si>
    <t>535-89-7</t>
  </si>
  <si>
    <t>pestRodenticide</t>
  </si>
  <si>
    <t>555</t>
  </si>
  <si>
    <t>dicamba methyl ester</t>
  </si>
  <si>
    <t>6597-78-0</t>
  </si>
  <si>
    <t>556</t>
  </si>
  <si>
    <t>2-[2-butoxyethoxy]ethyl thiocyanate</t>
  </si>
  <si>
    <t>112-56-1</t>
  </si>
  <si>
    <t>557</t>
  </si>
  <si>
    <t>2-[octylthio]ethanol</t>
  </si>
  <si>
    <t>3547-33-9</t>
  </si>
  <si>
    <t>558</t>
  </si>
  <si>
    <t>isoprocarb</t>
  </si>
  <si>
    <t>2631-40-5</t>
  </si>
  <si>
    <t>559</t>
  </si>
  <si>
    <t>demephion</t>
  </si>
  <si>
    <t>8065-62-1</t>
  </si>
  <si>
    <t>2,3,5,6-tetrachlorophenol</t>
  </si>
  <si>
    <t>935-95-5</t>
  </si>
  <si>
    <t>pestGeneral; phenol</t>
  </si>
  <si>
    <t>561</t>
  </si>
  <si>
    <t>mecoprop methyl ester</t>
  </si>
  <si>
    <t>23844-56-6</t>
  </si>
  <si>
    <t>562</t>
  </si>
  <si>
    <t>ethylenethiourea</t>
  </si>
  <si>
    <t>96-45-7</t>
  </si>
  <si>
    <t>TX001450</t>
  </si>
  <si>
    <t>1790</t>
  </si>
  <si>
    <t>563</t>
  </si>
  <si>
    <t>2,3,4,5-tetrachlorophenol</t>
  </si>
  <si>
    <t>4901-51-3</t>
  </si>
  <si>
    <t>564</t>
  </si>
  <si>
    <t>mcpa methyl ester</t>
  </si>
  <si>
    <t>2436-73-9</t>
  </si>
  <si>
    <t>565</t>
  </si>
  <si>
    <t>heptenophos</t>
  </si>
  <si>
    <t>23560-59-0</t>
  </si>
  <si>
    <t>566</t>
  </si>
  <si>
    <t>chlorfenprop-methyl</t>
  </si>
  <si>
    <t>14437-17-3</t>
  </si>
  <si>
    <t>567</t>
  </si>
  <si>
    <t>omethoate</t>
  </si>
  <si>
    <t>1113-02-6</t>
  </si>
  <si>
    <t>568</t>
  </si>
  <si>
    <t>tecnazene</t>
  </si>
  <si>
    <t>117-18-0</t>
  </si>
  <si>
    <t>569</t>
  </si>
  <si>
    <t>dichlorprop methyl ester</t>
  </si>
  <si>
    <t>57153-17-0</t>
  </si>
  <si>
    <t>570</t>
  </si>
  <si>
    <t>demeton-s-methyl</t>
  </si>
  <si>
    <t>919-86-8</t>
  </si>
  <si>
    <t>571</t>
  </si>
  <si>
    <t>benzophenone</t>
  </si>
  <si>
    <t>119-61-9</t>
  </si>
  <si>
    <t>PersonalCare</t>
  </si>
  <si>
    <t>TX002253</t>
  </si>
  <si>
    <t>1185</t>
  </si>
  <si>
    <t>572</t>
  </si>
  <si>
    <t>2,4-d methyl ester</t>
  </si>
  <si>
    <t>1928-38-7</t>
  </si>
  <si>
    <t>573</t>
  </si>
  <si>
    <t>2-[3-chlorophenoxy]propionamide</t>
  </si>
  <si>
    <t>5825-87-6</t>
  </si>
  <si>
    <t>574</t>
  </si>
  <si>
    <t>chlordimeform</t>
  </si>
  <si>
    <t>6164-98-3</t>
  </si>
  <si>
    <t>575</t>
  </si>
  <si>
    <t>2,3,5-trimethacarb</t>
  </si>
  <si>
    <t>2655-15-4</t>
  </si>
  <si>
    <t>576</t>
  </si>
  <si>
    <t>ethalfluralin</t>
  </si>
  <si>
    <t>55283-68-6</t>
  </si>
  <si>
    <t>TX000842</t>
  </si>
  <si>
    <t>1773</t>
  </si>
  <si>
    <t>577</t>
  </si>
  <si>
    <t>thiofanox</t>
  </si>
  <si>
    <t>39196-18-4</t>
  </si>
  <si>
    <t>578</t>
  </si>
  <si>
    <t>bendiocarb</t>
  </si>
  <si>
    <t>22781-23-3</t>
  </si>
  <si>
    <t>TX001604</t>
  </si>
  <si>
    <t>579</t>
  </si>
  <si>
    <t>benfluralin</t>
  </si>
  <si>
    <t>1861-40-1</t>
  </si>
  <si>
    <t>NTP-4001204798-D2; TX000910</t>
  </si>
  <si>
    <t>580</t>
  </si>
  <si>
    <t>tebutam</t>
  </si>
  <si>
    <t>35256-85-0</t>
  </si>
  <si>
    <t>TX006745</t>
  </si>
  <si>
    <t>1264</t>
  </si>
  <si>
    <t>581</t>
  </si>
  <si>
    <t>desbromo-bromobutide</t>
  </si>
  <si>
    <t>999055-03-7</t>
  </si>
  <si>
    <t>582</t>
  </si>
  <si>
    <t>triclopyr methyl ester</t>
  </si>
  <si>
    <t>60825-26-5</t>
  </si>
  <si>
    <t>583</t>
  </si>
  <si>
    <t>methyl-1-naphthalene acetate</t>
  </si>
  <si>
    <t>2876-78-0</t>
  </si>
  <si>
    <t>diallate ii</t>
  </si>
  <si>
    <t>17708-57-5</t>
  </si>
  <si>
    <t>thiometon</t>
  </si>
  <si>
    <t>640-15-3</t>
  </si>
  <si>
    <t>586</t>
  </si>
  <si>
    <t>desmedipham</t>
  </si>
  <si>
    <t>13684-56-5</t>
  </si>
  <si>
    <t>587</t>
  </si>
  <si>
    <t>dazomet</t>
  </si>
  <si>
    <t>533-74-4</t>
  </si>
  <si>
    <t>TX000828</t>
  </si>
  <si>
    <t>588</t>
  </si>
  <si>
    <t>pentachloroanisole</t>
  </si>
  <si>
    <t>1825-21-4</t>
  </si>
  <si>
    <t>589</t>
  </si>
  <si>
    <t>diethyl dithiobis[thionoformate] [exd]</t>
  </si>
  <si>
    <t>502-55-6</t>
  </si>
  <si>
    <t>590</t>
  </si>
  <si>
    <t>3,4,5-trimethacarb</t>
  </si>
  <si>
    <t>2686-99-9</t>
  </si>
  <si>
    <t>591</t>
  </si>
  <si>
    <t>ethoxyquin</t>
  </si>
  <si>
    <t>91-53-2</t>
  </si>
  <si>
    <t>TX001384</t>
  </si>
  <si>
    <t>1781</t>
  </si>
  <si>
    <t>592</t>
  </si>
  <si>
    <t>chlorbufam</t>
  </si>
  <si>
    <t>1967-16-4</t>
  </si>
  <si>
    <t>593</t>
  </si>
  <si>
    <t>dimethipin</t>
  </si>
  <si>
    <t>55290-64-7</t>
  </si>
  <si>
    <t>TX006122</t>
  </si>
  <si>
    <t>1663</t>
  </si>
  <si>
    <t>594</t>
  </si>
  <si>
    <t>clomazone</t>
  </si>
  <si>
    <t>81777-89-1</t>
  </si>
  <si>
    <t>TX000757</t>
  </si>
  <si>
    <t>1384</t>
  </si>
  <si>
    <t>595</t>
  </si>
  <si>
    <t>fenoprop methyl ester</t>
  </si>
  <si>
    <t>4841-20-7</t>
  </si>
  <si>
    <t>cyromazine</t>
  </si>
  <si>
    <t>66215-27-8</t>
  </si>
  <si>
    <t>TX000862</t>
  </si>
  <si>
    <t>terbumeton</t>
  </si>
  <si>
    <t>33693-04-8</t>
  </si>
  <si>
    <t>598</t>
  </si>
  <si>
    <t>chloramben methyl ester</t>
  </si>
  <si>
    <t>7286-84-2</t>
  </si>
  <si>
    <t>599</t>
  </si>
  <si>
    <t>n-methyl-n-1-naphthyl acetamide</t>
  </si>
  <si>
    <t>5903-13-9</t>
  </si>
  <si>
    <t>pestInsecticide; PAH</t>
  </si>
  <si>
    <t>600</t>
  </si>
  <si>
    <t>isocarbamide</t>
  </si>
  <si>
    <t>30979-48-7</t>
  </si>
  <si>
    <t>cycluron</t>
  </si>
  <si>
    <t>2163-69-1</t>
  </si>
  <si>
    <t>di-n-propyl phthalate</t>
  </si>
  <si>
    <t>131-16-8</t>
  </si>
  <si>
    <t>pharmacological; industrial</t>
  </si>
  <si>
    <t>603</t>
  </si>
  <si>
    <t>cyanophos</t>
  </si>
  <si>
    <t>2636-26-2</t>
  </si>
  <si>
    <t>604</t>
  </si>
  <si>
    <t>pyroquilon</t>
  </si>
  <si>
    <t>57369-32-1</t>
  </si>
  <si>
    <t>605</t>
  </si>
  <si>
    <t>trietazine</t>
  </si>
  <si>
    <t>1912-26-1</t>
  </si>
  <si>
    <t>fonofos</t>
  </si>
  <si>
    <t>944-22-9</t>
  </si>
  <si>
    <t>propetamphos</t>
  </si>
  <si>
    <t>31218-83-4</t>
  </si>
  <si>
    <t>TX001003</t>
  </si>
  <si>
    <t>2717</t>
  </si>
  <si>
    <t>608</t>
  </si>
  <si>
    <t>2,4,5-t methyl ester</t>
  </si>
  <si>
    <t>1928-37-6</t>
  </si>
  <si>
    <t>mcpb methyl ester</t>
  </si>
  <si>
    <t>57153-18-1</t>
  </si>
  <si>
    <t>profluralin</t>
  </si>
  <si>
    <t>26399-36-0</t>
  </si>
  <si>
    <t>dinoterb</t>
  </si>
  <si>
    <t>1420-07-1</t>
  </si>
  <si>
    <t>612</t>
  </si>
  <si>
    <t>pyrimethanil</t>
  </si>
  <si>
    <t>53112-28-0</t>
  </si>
  <si>
    <t>TX000725</t>
  </si>
  <si>
    <t>2744</t>
  </si>
  <si>
    <t>613</t>
  </si>
  <si>
    <t>pindone</t>
  </si>
  <si>
    <t>83-26-1</t>
  </si>
  <si>
    <t>pestInsecticide; pestRodenticide</t>
  </si>
  <si>
    <t>614</t>
  </si>
  <si>
    <t>fenfuram</t>
  </si>
  <si>
    <t>24691-80-3</t>
  </si>
  <si>
    <t>615</t>
  </si>
  <si>
    <t>2,4-d sec-butyl ester</t>
  </si>
  <si>
    <t>94-79-1</t>
  </si>
  <si>
    <t>616</t>
  </si>
  <si>
    <t>dinitramine</t>
  </si>
  <si>
    <t>29091-05-2</t>
  </si>
  <si>
    <t>617</t>
  </si>
  <si>
    <t>isazophos</t>
  </si>
  <si>
    <t>42509-80-8</t>
  </si>
  <si>
    <t>TX000892</t>
  </si>
  <si>
    <t>1978</t>
  </si>
  <si>
    <t>carbofuran-3-keto</t>
  </si>
  <si>
    <t>16709-30-1</t>
  </si>
  <si>
    <t>619</t>
  </si>
  <si>
    <t>etrimfos</t>
  </si>
  <si>
    <t>38260-54-7</t>
  </si>
  <si>
    <t>620</t>
  </si>
  <si>
    <t>bromocyclen</t>
  </si>
  <si>
    <t>1715-40-8</t>
  </si>
  <si>
    <t>621</t>
  </si>
  <si>
    <t>isobornyl thiocyanoacetate</t>
  </si>
  <si>
    <t>115-31-1</t>
  </si>
  <si>
    <t>622</t>
  </si>
  <si>
    <t>sebuthylazine</t>
  </si>
  <si>
    <t>7286-69-3</t>
  </si>
  <si>
    <t>623</t>
  </si>
  <si>
    <t>oxabetrinil</t>
  </si>
  <si>
    <t>74782-23-3</t>
  </si>
  <si>
    <t>624</t>
  </si>
  <si>
    <t>endosulfan ether</t>
  </si>
  <si>
    <t>3369-52-6</t>
  </si>
  <si>
    <t>625</t>
  </si>
  <si>
    <t>iprobenfos</t>
  </si>
  <si>
    <t>26087-47-8</t>
  </si>
  <si>
    <t>626</t>
  </si>
  <si>
    <t>monalide</t>
  </si>
  <si>
    <t>7287-36-7</t>
  </si>
  <si>
    <t>627</t>
  </si>
  <si>
    <t>metobromuron</t>
  </si>
  <si>
    <t>3060-89-7</t>
  </si>
  <si>
    <t>pentachloroaniline</t>
  </si>
  <si>
    <t>527-20-8</t>
  </si>
  <si>
    <t>pestFungicide; aniline</t>
  </si>
  <si>
    <t>formothion</t>
  </si>
  <si>
    <t>2540-82-1</t>
  </si>
  <si>
    <t>630</t>
  </si>
  <si>
    <t>2,4-db methyl ester</t>
  </si>
  <si>
    <t>18625-12-2</t>
  </si>
  <si>
    <t>631</t>
  </si>
  <si>
    <t>furmecyclox</t>
  </si>
  <si>
    <t>60568-05-0</t>
  </si>
  <si>
    <t>632</t>
  </si>
  <si>
    <t>pirimicarb</t>
  </si>
  <si>
    <t>23103-98-2</t>
  </si>
  <si>
    <t>TX000736</t>
  </si>
  <si>
    <t>2659</t>
  </si>
  <si>
    <t>633</t>
  </si>
  <si>
    <t>dinoseb methyl ether</t>
  </si>
  <si>
    <t>6099-79-2</t>
  </si>
  <si>
    <t>634</t>
  </si>
  <si>
    <t>butoxycarboxim</t>
  </si>
  <si>
    <t>34681-23-7</t>
  </si>
  <si>
    <t>635</t>
  </si>
  <si>
    <t>n-1-naphthylacetamide</t>
  </si>
  <si>
    <t>575-36-0</t>
  </si>
  <si>
    <t>636</t>
  </si>
  <si>
    <t>benfuresate</t>
  </si>
  <si>
    <t>68505-69-1</t>
  </si>
  <si>
    <t>637</t>
  </si>
  <si>
    <t>desmetryn</t>
  </si>
  <si>
    <t>1014-69-3</t>
  </si>
  <si>
    <t>638</t>
  </si>
  <si>
    <t>chlorthiamid</t>
  </si>
  <si>
    <t>1918-13-4</t>
  </si>
  <si>
    <t>639</t>
  </si>
  <si>
    <t>dichlofenthion</t>
  </si>
  <si>
    <t>97-17-6</t>
  </si>
  <si>
    <t>640</t>
  </si>
  <si>
    <t>dimethachlor</t>
  </si>
  <si>
    <t>50563-36-5</t>
  </si>
  <si>
    <t>641</t>
  </si>
  <si>
    <t>cyprazine</t>
  </si>
  <si>
    <t>22936-86-3</t>
  </si>
  <si>
    <t>642</t>
  </si>
  <si>
    <t>bromobutide</t>
  </si>
  <si>
    <t>74712-19-9</t>
  </si>
  <si>
    <t>643</t>
  </si>
  <si>
    <t>prothoate</t>
  </si>
  <si>
    <t>2275-18-5</t>
  </si>
  <si>
    <t>644</t>
  </si>
  <si>
    <t>bentazone methyl derivative</t>
  </si>
  <si>
    <t>61592-45-8</t>
  </si>
  <si>
    <t>645</t>
  </si>
  <si>
    <t>acetochlor</t>
  </si>
  <si>
    <t>34256-82-1</t>
  </si>
  <si>
    <t>TX000687</t>
  </si>
  <si>
    <t>956</t>
  </si>
  <si>
    <t>646</t>
  </si>
  <si>
    <t>fuberidazole</t>
  </si>
  <si>
    <t>3878-19-1</t>
  </si>
  <si>
    <t>647</t>
  </si>
  <si>
    <t>chlorpyrifos methyl</t>
  </si>
  <si>
    <t>5598-13-0</t>
  </si>
  <si>
    <t>TX000719</t>
  </si>
  <si>
    <t>1367</t>
  </si>
  <si>
    <t>648</t>
  </si>
  <si>
    <t>plifenat</t>
  </si>
  <si>
    <t>21757-82-4</t>
  </si>
  <si>
    <t>649</t>
  </si>
  <si>
    <t>terbucarb</t>
  </si>
  <si>
    <t>1918-11-2</t>
  </si>
  <si>
    <t>650</t>
  </si>
  <si>
    <t>chloranocryl</t>
  </si>
  <si>
    <t>2164-09-2</t>
  </si>
  <si>
    <t>651</t>
  </si>
  <si>
    <t>tolclofos-methyl</t>
  </si>
  <si>
    <t>57018-04-9</t>
  </si>
  <si>
    <t>652</t>
  </si>
  <si>
    <t>fenoprop</t>
  </si>
  <si>
    <t>93-72-1</t>
  </si>
  <si>
    <t>653</t>
  </si>
  <si>
    <t>malathion-o-analog</t>
  </si>
  <si>
    <t>1634-78-2</t>
  </si>
  <si>
    <t>TX000799</t>
  </si>
  <si>
    <t>2103</t>
  </si>
  <si>
    <t>654</t>
  </si>
  <si>
    <t>isoproturon</t>
  </si>
  <si>
    <t>34123-59-6</t>
  </si>
  <si>
    <t>655</t>
  </si>
  <si>
    <t>flurenol-methylester</t>
  </si>
  <si>
    <t>1216-44-0</t>
  </si>
  <si>
    <t>656</t>
  </si>
  <si>
    <t>dimetilan</t>
  </si>
  <si>
    <t>644-64-4</t>
  </si>
  <si>
    <t>657</t>
  </si>
  <si>
    <t>tridiphane</t>
  </si>
  <si>
    <t>58138-08-2</t>
  </si>
  <si>
    <t>658</t>
  </si>
  <si>
    <t>oxydemeton-methyl</t>
  </si>
  <si>
    <t>301-12-2</t>
  </si>
  <si>
    <t>659</t>
  </si>
  <si>
    <t>metalaxyl</t>
  </si>
  <si>
    <t>57837-19-1</t>
  </si>
  <si>
    <t>TX001424</t>
  </si>
  <si>
    <t>2130</t>
  </si>
  <si>
    <t>660</t>
  </si>
  <si>
    <t>paraoxon</t>
  </si>
  <si>
    <t>311-45-5</t>
  </si>
  <si>
    <t>661</t>
  </si>
  <si>
    <t>dinoseb acetate</t>
  </si>
  <si>
    <t>2813-95-8</t>
  </si>
  <si>
    <t>662</t>
  </si>
  <si>
    <t>2-[1-naphthyl]acetamide</t>
  </si>
  <si>
    <t>86-86-2</t>
  </si>
  <si>
    <t>pestGeneral; PAH</t>
  </si>
  <si>
    <t>663</t>
  </si>
  <si>
    <t>demeton-s-methylsulfon</t>
  </si>
  <si>
    <t>17040-19-6</t>
  </si>
  <si>
    <t>664</t>
  </si>
  <si>
    <t>tycor [smy 1500]</t>
  </si>
  <si>
    <t>64529-56-2</t>
  </si>
  <si>
    <t>665</t>
  </si>
  <si>
    <t>picloram methyl ester</t>
  </si>
  <si>
    <t>14143-55-6</t>
  </si>
  <si>
    <t>666</t>
  </si>
  <si>
    <t>ioxynil</t>
  </si>
  <si>
    <t>1689-83-4</t>
  </si>
  <si>
    <t>dinoterb acetate</t>
  </si>
  <si>
    <t>3204-27-1</t>
  </si>
  <si>
    <t>668</t>
  </si>
  <si>
    <t>dithiopyr</t>
  </si>
  <si>
    <t>97886-45-8</t>
  </si>
  <si>
    <t>TX001408</t>
  </si>
  <si>
    <t>1702</t>
  </si>
  <si>
    <t>669</t>
  </si>
  <si>
    <t>quinoclamine</t>
  </si>
  <si>
    <t>2797-51-5</t>
  </si>
  <si>
    <t>670</t>
  </si>
  <si>
    <t>pentanochlor</t>
  </si>
  <si>
    <t>2307-68-8</t>
  </si>
  <si>
    <t>671</t>
  </si>
  <si>
    <t>esprocarb</t>
  </si>
  <si>
    <t>85785-20-2</t>
  </si>
  <si>
    <t>672</t>
  </si>
  <si>
    <t>ethofumesate</t>
  </si>
  <si>
    <t>26225-79-6</t>
  </si>
  <si>
    <t>TX000838</t>
  </si>
  <si>
    <t>1779</t>
  </si>
  <si>
    <t>673</t>
  </si>
  <si>
    <t>probenazole</t>
  </si>
  <si>
    <t>27605-76-1</t>
  </si>
  <si>
    <t>chlorotoluron</t>
  </si>
  <si>
    <t>15545-48-9</t>
  </si>
  <si>
    <t>675</t>
  </si>
  <si>
    <t>dichlofluanid</t>
  </si>
  <si>
    <t>1085-98-9</t>
  </si>
  <si>
    <t>676</t>
  </si>
  <si>
    <t>amidithion</t>
  </si>
  <si>
    <t>919-76-6</t>
  </si>
  <si>
    <t>677</t>
  </si>
  <si>
    <t>benthiocarb</t>
  </si>
  <si>
    <t>28249-77-6</t>
  </si>
  <si>
    <t>TX000783</t>
  </si>
  <si>
    <t>3018</t>
  </si>
  <si>
    <t>678</t>
  </si>
  <si>
    <t>dipropetryn</t>
  </si>
  <si>
    <t>4147-51-7</t>
  </si>
  <si>
    <t>679</t>
  </si>
  <si>
    <t>kinoprene</t>
  </si>
  <si>
    <t>42588-37-4</t>
  </si>
  <si>
    <t>680</t>
  </si>
  <si>
    <t>diethofencarb</t>
  </si>
  <si>
    <t>87130-20-9</t>
  </si>
  <si>
    <t>681</t>
  </si>
  <si>
    <t>dimethylvinphos[z]</t>
  </si>
  <si>
    <t>67628-93-7</t>
  </si>
  <si>
    <t>682</t>
  </si>
  <si>
    <t>4,4'-dichlorobenzophenone</t>
  </si>
  <si>
    <t>90-98-2</t>
  </si>
  <si>
    <t>683</t>
  </si>
  <si>
    <t>tetrapropyl thiodiphosphate</t>
  </si>
  <si>
    <t>3244-90-4</t>
  </si>
  <si>
    <t>684</t>
  </si>
  <si>
    <t>fepropimorph</t>
  </si>
  <si>
    <t>67564-91-4</t>
  </si>
  <si>
    <t>685</t>
  </si>
  <si>
    <t>isomethiozin</t>
  </si>
  <si>
    <t>57052-04-7</t>
  </si>
  <si>
    <t>686</t>
  </si>
  <si>
    <t>dicapthon</t>
  </si>
  <si>
    <t>2463-84-5</t>
  </si>
  <si>
    <t>687</t>
  </si>
  <si>
    <t>isobenzan</t>
  </si>
  <si>
    <t>297-78-9</t>
  </si>
  <si>
    <t>688</t>
  </si>
  <si>
    <t>methfuroxam</t>
  </si>
  <si>
    <t>28730-17-8</t>
  </si>
  <si>
    <t>carbetamide</t>
  </si>
  <si>
    <t>16118-49-3</t>
  </si>
  <si>
    <t>690</t>
  </si>
  <si>
    <t>tiocarbazil i</t>
  </si>
  <si>
    <t>36756-79-3</t>
  </si>
  <si>
    <t>fenson</t>
  </si>
  <si>
    <t>80-38-6</t>
  </si>
  <si>
    <t>692</t>
  </si>
  <si>
    <t>chlorthion</t>
  </si>
  <si>
    <t>500-28-7</t>
  </si>
  <si>
    <t>693</t>
  </si>
  <si>
    <t>phthalide</t>
  </si>
  <si>
    <t>27355-22-2</t>
  </si>
  <si>
    <t>nitrothal-isopropyl</t>
  </si>
  <si>
    <t>10552-74-6</t>
  </si>
  <si>
    <t>695</t>
  </si>
  <si>
    <t>drazoxolon</t>
  </si>
  <si>
    <t>5707-69-7</t>
  </si>
  <si>
    <t>crufomate</t>
  </si>
  <si>
    <t>299-86-5</t>
  </si>
  <si>
    <t>dodemorph i</t>
  </si>
  <si>
    <t>1593-77-7</t>
  </si>
  <si>
    <t>698</t>
  </si>
  <si>
    <t>flurochloridone i</t>
  </si>
  <si>
    <t>61213-25-0</t>
  </si>
  <si>
    <t>699</t>
  </si>
  <si>
    <t>sulfur [s8]</t>
  </si>
  <si>
    <t>10544-50-0</t>
  </si>
  <si>
    <t>pestFungicide; natural</t>
  </si>
  <si>
    <t>700</t>
  </si>
  <si>
    <t>pyracarbolid</t>
  </si>
  <si>
    <t>24691-76-7</t>
  </si>
  <si>
    <t>701</t>
  </si>
  <si>
    <t>bromophos</t>
  </si>
  <si>
    <t>2104-96-3</t>
  </si>
  <si>
    <t>naphthalic anhydride</t>
  </si>
  <si>
    <t>81-84-5</t>
  </si>
  <si>
    <t>pestHerbicide; PAH; industrial</t>
  </si>
  <si>
    <t>703</t>
  </si>
  <si>
    <t>butralin</t>
  </si>
  <si>
    <t>33629-47-9</t>
  </si>
  <si>
    <t>TX003363</t>
  </si>
  <si>
    <t>1266</t>
  </si>
  <si>
    <t>704</t>
  </si>
  <si>
    <t>endosulfan lactone</t>
  </si>
  <si>
    <t>3868-61-9</t>
  </si>
  <si>
    <t>705</t>
  </si>
  <si>
    <t>octachlorostyrene</t>
  </si>
  <si>
    <t>29082-74-4</t>
  </si>
  <si>
    <t>706</t>
  </si>
  <si>
    <t>pirimiphos-ethyl</t>
  </si>
  <si>
    <t>23505-41-1</t>
  </si>
  <si>
    <t>707</t>
  </si>
  <si>
    <t>isopropalin</t>
  </si>
  <si>
    <t>33820-53-0</t>
  </si>
  <si>
    <t>TX006112</t>
  </si>
  <si>
    <t>1991</t>
  </si>
  <si>
    <t>708</t>
  </si>
  <si>
    <t>metazachlor</t>
  </si>
  <si>
    <t>67129-08-2</t>
  </si>
  <si>
    <t>709</t>
  </si>
  <si>
    <t>methoprene i</t>
  </si>
  <si>
    <t>40596-69-8</t>
  </si>
  <si>
    <t>710</t>
  </si>
  <si>
    <t>mefluidide</t>
  </si>
  <si>
    <t>53780-34-0</t>
  </si>
  <si>
    <t>711</t>
  </si>
  <si>
    <t>thiabendazole</t>
  </si>
  <si>
    <t>148-79-8</t>
  </si>
  <si>
    <t>TX003697</t>
  </si>
  <si>
    <t>3012</t>
  </si>
  <si>
    <t>712</t>
  </si>
  <si>
    <t>benazolin-ethyl</t>
  </si>
  <si>
    <t>25059-80-7</t>
  </si>
  <si>
    <t>713</t>
  </si>
  <si>
    <t>chlorbromuron</t>
  </si>
  <si>
    <t>13360-45-7</t>
  </si>
  <si>
    <t>714</t>
  </si>
  <si>
    <t>penconazole</t>
  </si>
  <si>
    <t>66246-88-6</t>
  </si>
  <si>
    <t>715</t>
  </si>
  <si>
    <t>dimethametryn</t>
  </si>
  <si>
    <t>22936-75-0</t>
  </si>
  <si>
    <t>716</t>
  </si>
  <si>
    <t>phosfolan</t>
  </si>
  <si>
    <t>947-02-4</t>
  </si>
  <si>
    <t>717</t>
  </si>
  <si>
    <t>tolylfluanid</t>
  </si>
  <si>
    <t>731-27-1</t>
  </si>
  <si>
    <t>718</t>
  </si>
  <si>
    <t>pyrifenox i</t>
  </si>
  <si>
    <t>88283-41-4</t>
  </si>
  <si>
    <t>719</t>
  </si>
  <si>
    <t>methyldymron</t>
  </si>
  <si>
    <t>42609-73-4</t>
  </si>
  <si>
    <t>mephosfolan</t>
  </si>
  <si>
    <t>950-10-7</t>
  </si>
  <si>
    <t>chlozolinate</t>
  </si>
  <si>
    <t>84332-86-5</t>
  </si>
  <si>
    <t>folpet</t>
  </si>
  <si>
    <t>133-07-3</t>
  </si>
  <si>
    <t>TX000824</t>
  </si>
  <si>
    <t>1867</t>
  </si>
  <si>
    <t>723</t>
  </si>
  <si>
    <t>isofenphos</t>
  </si>
  <si>
    <t>25311-71-1</t>
  </si>
  <si>
    <t>724</t>
  </si>
  <si>
    <t>pyridinitril</t>
  </si>
  <si>
    <t>1086-02-8</t>
  </si>
  <si>
    <t>725</t>
  </si>
  <si>
    <t>quinalphos</t>
  </si>
  <si>
    <t>13593-03-8</t>
  </si>
  <si>
    <t>726</t>
  </si>
  <si>
    <t>triadimenol</t>
  </si>
  <si>
    <t>55219-65-3</t>
  </si>
  <si>
    <t>TX011585</t>
  </si>
  <si>
    <t>3098</t>
  </si>
  <si>
    <t>727</t>
  </si>
  <si>
    <t>phenthoate</t>
  </si>
  <si>
    <t>2597-03-7</t>
  </si>
  <si>
    <t>728</t>
  </si>
  <si>
    <t>mecarbam</t>
  </si>
  <si>
    <t>2595-54-2</t>
  </si>
  <si>
    <t>729</t>
  </si>
  <si>
    <t>bioallethrin s-cyclopentenyl isomer</t>
  </si>
  <si>
    <t>28434-00-6</t>
  </si>
  <si>
    <t>TX001603</t>
  </si>
  <si>
    <t>2834</t>
  </si>
  <si>
    <t>730</t>
  </si>
  <si>
    <t>chlorbenside</t>
  </si>
  <si>
    <t>103-17-3</t>
  </si>
  <si>
    <t>731</t>
  </si>
  <si>
    <t>bioallethrin</t>
  </si>
  <si>
    <t>584-79-2</t>
  </si>
  <si>
    <t>TX011582</t>
  </si>
  <si>
    <t>1002</t>
  </si>
  <si>
    <t>732</t>
  </si>
  <si>
    <t>chinomethionat</t>
  </si>
  <si>
    <t>2439-01-2</t>
  </si>
  <si>
    <t>733</t>
  </si>
  <si>
    <t>furalaxyl</t>
  </si>
  <si>
    <t>57646-30-7</t>
  </si>
  <si>
    <t>734</t>
  </si>
  <si>
    <t>procymidone</t>
  </si>
  <si>
    <t>32809-16-8</t>
  </si>
  <si>
    <t>TX002687</t>
  </si>
  <si>
    <t>2703</t>
  </si>
  <si>
    <t>735</t>
  </si>
  <si>
    <t>dinobuton</t>
  </si>
  <si>
    <t>973-21-7</t>
  </si>
  <si>
    <t>736</t>
  </si>
  <si>
    <t>chlorflurecol-methyl ester</t>
  </si>
  <si>
    <t>2536-31-4</t>
  </si>
  <si>
    <t>pestHerbicide; PAH</t>
  </si>
  <si>
    <t>737</t>
  </si>
  <si>
    <t>methidathion</t>
  </si>
  <si>
    <t>950-37-8</t>
  </si>
  <si>
    <t>TX009154</t>
  </si>
  <si>
    <t>2138</t>
  </si>
  <si>
    <t>738</t>
  </si>
  <si>
    <t>triflumizole</t>
  </si>
  <si>
    <t>68694-11-1</t>
  </si>
  <si>
    <t>TX001446</t>
  </si>
  <si>
    <t>3127</t>
  </si>
  <si>
    <t>739</t>
  </si>
  <si>
    <t>bromophos-ethyl</t>
  </si>
  <si>
    <t>4824-78-6</t>
  </si>
  <si>
    <t>740</t>
  </si>
  <si>
    <t>paclobutrazol</t>
  </si>
  <si>
    <t>76738-62-0</t>
  </si>
  <si>
    <t>TX000723</t>
  </si>
  <si>
    <t>2507</t>
  </si>
  <si>
    <t>vamidothion</t>
  </si>
  <si>
    <t>2275-23-2</t>
  </si>
  <si>
    <t>742</t>
  </si>
  <si>
    <t>tetrachlorvinphos</t>
  </si>
  <si>
    <t>961-11-5</t>
  </si>
  <si>
    <t>743</t>
  </si>
  <si>
    <t>2,4-dichlorophenyl benzenesulfonate</t>
  </si>
  <si>
    <t>97-16-5</t>
  </si>
  <si>
    <t>744</t>
  </si>
  <si>
    <t>tcmtb</t>
  </si>
  <si>
    <t>21564-17-0</t>
  </si>
  <si>
    <t>TX006533</t>
  </si>
  <si>
    <t>745</t>
  </si>
  <si>
    <t>flutriafol</t>
  </si>
  <si>
    <t>76674-21-0</t>
  </si>
  <si>
    <t>ditalimfos</t>
  </si>
  <si>
    <t>5131-24-8</t>
  </si>
  <si>
    <t>chlorfenson</t>
  </si>
  <si>
    <t>80-33-1</t>
  </si>
  <si>
    <t>748</t>
  </si>
  <si>
    <t>flumetralin</t>
  </si>
  <si>
    <t>62924-70-3</t>
  </si>
  <si>
    <t>TX000826</t>
  </si>
  <si>
    <t>1849</t>
  </si>
  <si>
    <t>749</t>
  </si>
  <si>
    <t>diamyl phthalate</t>
  </si>
  <si>
    <t>131-18-0</t>
  </si>
  <si>
    <t>TX008788</t>
  </si>
  <si>
    <t>1688</t>
  </si>
  <si>
    <t>750</t>
  </si>
  <si>
    <t>hexaconazole</t>
  </si>
  <si>
    <t>79983-71-4</t>
  </si>
  <si>
    <t>TX000667</t>
  </si>
  <si>
    <t>1931</t>
  </si>
  <si>
    <t>751</t>
  </si>
  <si>
    <t>jodfenphos</t>
  </si>
  <si>
    <t>18181-70-9</t>
  </si>
  <si>
    <t>752</t>
  </si>
  <si>
    <t>butamifos</t>
  </si>
  <si>
    <t>36335-67-8</t>
  </si>
  <si>
    <t>753</t>
  </si>
  <si>
    <t>fenamiphos</t>
  </si>
  <si>
    <t>22224-92-6</t>
  </si>
  <si>
    <t>TX011589</t>
  </si>
  <si>
    <t>1817</t>
  </si>
  <si>
    <t>754</t>
  </si>
  <si>
    <t>diethatyl ethyl</t>
  </si>
  <si>
    <t>38727-55-8</t>
  </si>
  <si>
    <t>755</t>
  </si>
  <si>
    <t>fluorodifen</t>
  </si>
  <si>
    <t>15457-05-3</t>
  </si>
  <si>
    <t>756</t>
  </si>
  <si>
    <t>imazalil</t>
  </si>
  <si>
    <t>35554-44-0</t>
  </si>
  <si>
    <t>TX000663</t>
  </si>
  <si>
    <t>1953</t>
  </si>
  <si>
    <t>757</t>
  </si>
  <si>
    <t>flutolanil</t>
  </si>
  <si>
    <t>66332-96-5</t>
  </si>
  <si>
    <t>TX011593</t>
  </si>
  <si>
    <t>1863</t>
  </si>
  <si>
    <t>758</t>
  </si>
  <si>
    <t>isoprothiolane</t>
  </si>
  <si>
    <t>50512-35-1</t>
  </si>
  <si>
    <t>759</t>
  </si>
  <si>
    <t>profenofos</t>
  </si>
  <si>
    <t>41198-08-7</t>
  </si>
  <si>
    <t>TX001594</t>
  </si>
  <si>
    <t>2705</t>
  </si>
  <si>
    <t>760</t>
  </si>
  <si>
    <t>uniconizole-p</t>
  </si>
  <si>
    <t>83657-17-4</t>
  </si>
  <si>
    <t>761</t>
  </si>
  <si>
    <t>s,s,s-tributylphosphorotrithioate</t>
  </si>
  <si>
    <t>78-48-8</t>
  </si>
  <si>
    <t>TX001538</t>
  </si>
  <si>
    <t>3101</t>
  </si>
  <si>
    <t>762</t>
  </si>
  <si>
    <t>pretilachlor</t>
  </si>
  <si>
    <t>51218-49-6</t>
  </si>
  <si>
    <t>763</t>
  </si>
  <si>
    <t>flubenzimine</t>
  </si>
  <si>
    <t>37893-02-0</t>
  </si>
  <si>
    <t>764</t>
  </si>
  <si>
    <t>diclobutrazol</t>
  </si>
  <si>
    <t>75736-33-3</t>
  </si>
  <si>
    <t>765</t>
  </si>
  <si>
    <t>metamitron</t>
  </si>
  <si>
    <t>41394-05-2</t>
  </si>
  <si>
    <t>766</t>
  </si>
  <si>
    <t>azaconazole</t>
  </si>
  <si>
    <t>60207-31-0</t>
  </si>
  <si>
    <t>767</t>
  </si>
  <si>
    <t>flamprop-methyl</t>
  </si>
  <si>
    <t>52756-25-9</t>
  </si>
  <si>
    <t>buprofezin</t>
  </si>
  <si>
    <t>69327-76-0</t>
  </si>
  <si>
    <t>TX000773</t>
  </si>
  <si>
    <t>1259</t>
  </si>
  <si>
    <t>flusilazole</t>
  </si>
  <si>
    <t>85509-19-9</t>
  </si>
  <si>
    <t>TX000669</t>
  </si>
  <si>
    <t>1860</t>
  </si>
  <si>
    <t>methoprotryne</t>
  </si>
  <si>
    <t>841-06-5</t>
  </si>
  <si>
    <t>tryclopyrbutoxyethyl</t>
  </si>
  <si>
    <t>64470-88-8</t>
  </si>
  <si>
    <t>772</t>
  </si>
  <si>
    <t>erbon</t>
  </si>
  <si>
    <t>136-25-4</t>
  </si>
  <si>
    <t>isoxathion</t>
  </si>
  <si>
    <t>18854-01-8</t>
  </si>
  <si>
    <t>774</t>
  </si>
  <si>
    <t>ancymidol</t>
  </si>
  <si>
    <t>12771-68-5</t>
  </si>
  <si>
    <t>binapacryl</t>
  </si>
  <si>
    <t>485-31-4</t>
  </si>
  <si>
    <t>fluazifop-p-butyl</t>
  </si>
  <si>
    <t>79241-46-6</t>
  </si>
  <si>
    <t>TX001441</t>
  </si>
  <si>
    <t>1843</t>
  </si>
  <si>
    <t>acifluorfen methyl ester</t>
  </si>
  <si>
    <t>50594-67-7</t>
  </si>
  <si>
    <t>fenthion sulfoxide</t>
  </si>
  <si>
    <t>3761-41-9</t>
  </si>
  <si>
    <t>779</t>
  </si>
  <si>
    <t>diniconazole</t>
  </si>
  <si>
    <t>83657-24-3</t>
  </si>
  <si>
    <t>TX001542</t>
  </si>
  <si>
    <t>1684</t>
  </si>
  <si>
    <t>780</t>
  </si>
  <si>
    <t>cyprofuram</t>
  </si>
  <si>
    <t>69581-33-5</t>
  </si>
  <si>
    <t>781</t>
  </si>
  <si>
    <t>methiocarb sulfoxide</t>
  </si>
  <si>
    <t>2635-10-1</t>
  </si>
  <si>
    <t>782</t>
  </si>
  <si>
    <t>etaconazole</t>
  </si>
  <si>
    <t>60207-93-4</t>
  </si>
  <si>
    <t>783</t>
  </si>
  <si>
    <t>flamprop-isopropyl</t>
  </si>
  <si>
    <t>52756-22-6</t>
  </si>
  <si>
    <t>784</t>
  </si>
  <si>
    <t>oxadixyl</t>
  </si>
  <si>
    <t>77732-09-3</t>
  </si>
  <si>
    <t>785</t>
  </si>
  <si>
    <t>triamiphos</t>
  </si>
  <si>
    <t>1031-47-6</t>
  </si>
  <si>
    <t>786</t>
  </si>
  <si>
    <t>benodanil</t>
  </si>
  <si>
    <t>15310-01-7</t>
  </si>
  <si>
    <t>TX005992</t>
  </si>
  <si>
    <t>787</t>
  </si>
  <si>
    <t>tetrasul</t>
  </si>
  <si>
    <t>2227-13-6</t>
  </si>
  <si>
    <t>788</t>
  </si>
  <si>
    <t>chlorthiophos</t>
  </si>
  <si>
    <t>60238-56-4</t>
  </si>
  <si>
    <t>789</t>
  </si>
  <si>
    <t>fenazaflor</t>
  </si>
  <si>
    <t>14255-88-0</t>
  </si>
  <si>
    <t>790</t>
  </si>
  <si>
    <t>mepronil</t>
  </si>
  <si>
    <t>55814-41-0</t>
  </si>
  <si>
    <t>791</t>
  </si>
  <si>
    <t>triazophos</t>
  </si>
  <si>
    <t>24017-47-8</t>
  </si>
  <si>
    <t>792</t>
  </si>
  <si>
    <t>chlornitrofen</t>
  </si>
  <si>
    <t>1836-77-7</t>
  </si>
  <si>
    <t>793</t>
  </si>
  <si>
    <t>2,3,7,8-tetrachlorodibenzofuran</t>
  </si>
  <si>
    <t>51207-31-9</t>
  </si>
  <si>
    <t>794</t>
  </si>
  <si>
    <t>benalaxyl</t>
  </si>
  <si>
    <t>71626-11-4</t>
  </si>
  <si>
    <t>795</t>
  </si>
  <si>
    <t>edifenphos</t>
  </si>
  <si>
    <t>17109-49-8</t>
  </si>
  <si>
    <t>796</t>
  </si>
  <si>
    <t>cyanofenphos</t>
  </si>
  <si>
    <t>13067-93-1</t>
  </si>
  <si>
    <t>797</t>
  </si>
  <si>
    <t>bromoxynil octanoic acid ester</t>
  </si>
  <si>
    <t>1689-99-2</t>
  </si>
  <si>
    <t>798</t>
  </si>
  <si>
    <t>lenacil</t>
  </si>
  <si>
    <t>2164-08-1</t>
  </si>
  <si>
    <t>799</t>
  </si>
  <si>
    <t>hexestrol</t>
  </si>
  <si>
    <t>84-16-2</t>
  </si>
  <si>
    <t>NTP-4001204798-D3; TX003990</t>
  </si>
  <si>
    <t>2128</t>
  </si>
  <si>
    <t>800</t>
  </si>
  <si>
    <t>pyrazon</t>
  </si>
  <si>
    <t>1698-60-8</t>
  </si>
  <si>
    <t>TX000898</t>
  </si>
  <si>
    <t>1356</t>
  </si>
  <si>
    <t>801</t>
  </si>
  <si>
    <t>piperalin</t>
  </si>
  <si>
    <t>3478-94-2</t>
  </si>
  <si>
    <t>802</t>
  </si>
  <si>
    <t>nuarimol</t>
  </si>
  <si>
    <t>63284-71-9</t>
  </si>
  <si>
    <t>803</t>
  </si>
  <si>
    <t>thenylchlor</t>
  </si>
  <si>
    <t>96491-05-3</t>
  </si>
  <si>
    <t>804</t>
  </si>
  <si>
    <t>diclofop methyl</t>
  </si>
  <si>
    <t>51338-27-3</t>
  </si>
  <si>
    <t>TX000691</t>
  </si>
  <si>
    <t>1634</t>
  </si>
  <si>
    <t>805</t>
  </si>
  <si>
    <t>fluroxypyr-1-methylheptyl ester</t>
  </si>
  <si>
    <t>81406-37-3</t>
  </si>
  <si>
    <t>TX000671</t>
  </si>
  <si>
    <t>1859</t>
  </si>
  <si>
    <t>806</t>
  </si>
  <si>
    <t>propargite</t>
  </si>
  <si>
    <t>2312-35-8</t>
  </si>
  <si>
    <t>NTP-4001204798-C6; TX001557</t>
  </si>
  <si>
    <t>2715</t>
  </si>
  <si>
    <t>807</t>
  </si>
  <si>
    <t>diflufenican</t>
  </si>
  <si>
    <t>83164-33-4</t>
  </si>
  <si>
    <t>808</t>
  </si>
  <si>
    <t>oxycarboxin</t>
  </si>
  <si>
    <t>5259-88-1</t>
  </si>
  <si>
    <t>809</t>
  </si>
  <si>
    <t>piperonyl butoxide</t>
  </si>
  <si>
    <t>51-03-6</t>
  </si>
  <si>
    <t>TX011594</t>
  </si>
  <si>
    <t>2657</t>
  </si>
  <si>
    <t>810</t>
  </si>
  <si>
    <t>resmethrin</t>
  </si>
  <si>
    <t>10453-86-8</t>
  </si>
  <si>
    <t>TX005545</t>
  </si>
  <si>
    <t>2771</t>
  </si>
  <si>
    <t>811</t>
  </si>
  <si>
    <t>bioresmethrin</t>
  </si>
  <si>
    <t>28434-01-7</t>
  </si>
  <si>
    <t>812</t>
  </si>
  <si>
    <t>epoxiconazole</t>
  </si>
  <si>
    <t>106325-08-0</t>
  </si>
  <si>
    <t>813</t>
  </si>
  <si>
    <t>fluotrimazole</t>
  </si>
  <si>
    <t>31251-03-3</t>
  </si>
  <si>
    <t>814</t>
  </si>
  <si>
    <t>nitralin</t>
  </si>
  <si>
    <t>4726-14-1</t>
  </si>
  <si>
    <t>815</t>
  </si>
  <si>
    <t>pyributicarb</t>
  </si>
  <si>
    <t>88678-67-5</t>
  </si>
  <si>
    <t>816</t>
  </si>
  <si>
    <t>benzoylprop ethyl</t>
  </si>
  <si>
    <t>22212-55-1</t>
  </si>
  <si>
    <t>817</t>
  </si>
  <si>
    <t>dichlorophen</t>
  </si>
  <si>
    <t>97-23-4</t>
  </si>
  <si>
    <t>pestFungicide; pharmacological</t>
  </si>
  <si>
    <t>818</t>
  </si>
  <si>
    <t>hexabromobenzene</t>
  </si>
  <si>
    <t>87-82-1</t>
  </si>
  <si>
    <t>flameRetardant</t>
  </si>
  <si>
    <t>819</t>
  </si>
  <si>
    <t>pyridaphenthion</t>
  </si>
  <si>
    <t>119-12-0</t>
  </si>
  <si>
    <t>820</t>
  </si>
  <si>
    <t>leptophos oxon</t>
  </si>
  <si>
    <t>25006-32-0</t>
  </si>
  <si>
    <t>821</t>
  </si>
  <si>
    <t>chlorthiophos sulfoxide</t>
  </si>
  <si>
    <t>29185-21-5</t>
  </si>
  <si>
    <t>822</t>
  </si>
  <si>
    <t>menazon</t>
  </si>
  <si>
    <t>78-57-9</t>
  </si>
  <si>
    <t>823</t>
  </si>
  <si>
    <t>tetramethrin i</t>
  </si>
  <si>
    <t>7696-12-0</t>
  </si>
  <si>
    <t>TX000787</t>
  </si>
  <si>
    <t>3006</t>
  </si>
  <si>
    <t>824</t>
  </si>
  <si>
    <t>bromopropylate</t>
  </si>
  <si>
    <t>18181-80-1</t>
  </si>
  <si>
    <t>825</t>
  </si>
  <si>
    <t>carbosulfan</t>
  </si>
  <si>
    <t>55285-14-8</t>
  </si>
  <si>
    <t>TX006560</t>
  </si>
  <si>
    <t>1321</t>
  </si>
  <si>
    <t>826</t>
  </si>
  <si>
    <t>fenoxycarb</t>
  </si>
  <si>
    <t>79127-80-3</t>
  </si>
  <si>
    <t>Insecticide,</t>
  </si>
  <si>
    <t>827</t>
  </si>
  <si>
    <t>piperophos</t>
  </si>
  <si>
    <t>24151-93-7</t>
  </si>
  <si>
    <t>828</t>
  </si>
  <si>
    <t>phenkapton</t>
  </si>
  <si>
    <t>2275-14-1</t>
  </si>
  <si>
    <t>829</t>
  </si>
  <si>
    <t>fenpropathrin</t>
  </si>
  <si>
    <t>64257-84-7</t>
  </si>
  <si>
    <t>830</t>
  </si>
  <si>
    <t>bifenox</t>
  </si>
  <si>
    <t>42576-02-3</t>
  </si>
  <si>
    <t>831</t>
  </si>
  <si>
    <t>dicyclohexyl phthalate</t>
  </si>
  <si>
    <t>84-61-7</t>
  </si>
  <si>
    <t>832</t>
  </si>
  <si>
    <t>chlorthiophos sulfone</t>
  </si>
  <si>
    <t>999053-03-1</t>
  </si>
  <si>
    <t>833</t>
  </si>
  <si>
    <t>tetradifon</t>
  </si>
  <si>
    <t>116-29-0</t>
  </si>
  <si>
    <t>834</t>
  </si>
  <si>
    <t>d-[cis-trans]-phenothrin-i</t>
  </si>
  <si>
    <t>26002-80-2</t>
  </si>
  <si>
    <t>835</t>
  </si>
  <si>
    <t>furathiocarb</t>
  </si>
  <si>
    <t>65907-30-4</t>
  </si>
  <si>
    <t>836</t>
  </si>
  <si>
    <t>mefenacet</t>
  </si>
  <si>
    <t>73250-68-7</t>
  </si>
  <si>
    <t>837</t>
  </si>
  <si>
    <t>amitraz</t>
  </si>
  <si>
    <t>33089-61-1</t>
  </si>
  <si>
    <t>TX000818</t>
  </si>
  <si>
    <t>1014</t>
  </si>
  <si>
    <t>838</t>
  </si>
  <si>
    <t>cyhalothrin i [lambda]</t>
  </si>
  <si>
    <t>68085-85-8</t>
  </si>
  <si>
    <t>839</t>
  </si>
  <si>
    <t>pyrazophos</t>
  </si>
  <si>
    <t>13457-18-6</t>
  </si>
  <si>
    <t>840</t>
  </si>
  <si>
    <t>b-estradiol</t>
  </si>
  <si>
    <t>50-28-2</t>
  </si>
  <si>
    <t>NTP-4001204798-C4; NTP DNT 91-E6; TX008476</t>
  </si>
  <si>
    <t>1770</t>
  </si>
  <si>
    <t>841</t>
  </si>
  <si>
    <t>isoxaben</t>
  </si>
  <si>
    <t>82558-50-7</t>
  </si>
  <si>
    <t>TX000661</t>
  </si>
  <si>
    <t>1995</t>
  </si>
  <si>
    <t>842</t>
  </si>
  <si>
    <t>dialifos</t>
  </si>
  <si>
    <t>10311-84-9</t>
  </si>
  <si>
    <t>843</t>
  </si>
  <si>
    <t>bitertanol i</t>
  </si>
  <si>
    <t>55179-31-2</t>
  </si>
  <si>
    <t>844</t>
  </si>
  <si>
    <t>oryzalin</t>
  </si>
  <si>
    <t>19044-88-3</t>
  </si>
  <si>
    <t>TX011586</t>
  </si>
  <si>
    <t>2491</t>
  </si>
  <si>
    <t>845</t>
  </si>
  <si>
    <t>pyridaben</t>
  </si>
  <si>
    <t>96489-71-3</t>
  </si>
  <si>
    <t>TX001583</t>
  </si>
  <si>
    <t>2741</t>
  </si>
  <si>
    <t>846</t>
  </si>
  <si>
    <t>17a-ethynylestradiol</t>
  </si>
  <si>
    <t>57-63-6</t>
  </si>
  <si>
    <t>NTP-4001204798-C8; TX005798</t>
  </si>
  <si>
    <t>847</t>
  </si>
  <si>
    <t>prochloraz</t>
  </si>
  <si>
    <t>67747-09-5</t>
  </si>
  <si>
    <t>TX000820</t>
  </si>
  <si>
    <t>2702</t>
  </si>
  <si>
    <t>848</t>
  </si>
  <si>
    <t>tamoxifen</t>
  </si>
  <si>
    <t>10540-29-1</t>
  </si>
  <si>
    <t>NTP-4001204798-D7; TX008618</t>
  </si>
  <si>
    <t>2959</t>
  </si>
  <si>
    <t>849</t>
  </si>
  <si>
    <t>dioxathion</t>
  </si>
  <si>
    <t>78-34-2</t>
  </si>
  <si>
    <t>850</t>
  </si>
  <si>
    <t>fenbuconazole</t>
  </si>
  <si>
    <t>119611-00-6</t>
  </si>
  <si>
    <t>851</t>
  </si>
  <si>
    <t>cyfluthrin i</t>
  </si>
  <si>
    <t>68359-37-5</t>
  </si>
  <si>
    <t>TX000689</t>
  </si>
  <si>
    <t>852</t>
  </si>
  <si>
    <t>cypermethrin-1</t>
  </si>
  <si>
    <t>52315-07-8</t>
  </si>
  <si>
    <t>TX000754</t>
  </si>
  <si>
    <t>853</t>
  </si>
  <si>
    <t>quizalofop-ethyl</t>
  </si>
  <si>
    <t>76578-14-8</t>
  </si>
  <si>
    <t>TX009156</t>
  </si>
  <si>
    <t>2753</t>
  </si>
  <si>
    <t>854</t>
  </si>
  <si>
    <t>flucythrinate i</t>
  </si>
  <si>
    <t>70124-77-5</t>
  </si>
  <si>
    <t>855</t>
  </si>
  <si>
    <t>5,7-dihydroxy-4'-methoxyisoflavone</t>
  </si>
  <si>
    <t>491-80-5</t>
  </si>
  <si>
    <t>856</t>
  </si>
  <si>
    <t>2-hydroxyestradiol</t>
  </si>
  <si>
    <t>362-05-0</t>
  </si>
  <si>
    <t>857</t>
  </si>
  <si>
    <t>pyridate</t>
  </si>
  <si>
    <t>55512-33-9</t>
  </si>
  <si>
    <t>858</t>
  </si>
  <si>
    <t>fluvalinate-tau-i</t>
  </si>
  <si>
    <t>102851-06-9</t>
  </si>
  <si>
    <t>859</t>
  </si>
  <si>
    <t>difenoconazol i</t>
  </si>
  <si>
    <t>119446-68-3</t>
  </si>
  <si>
    <t>TX000785</t>
  </si>
  <si>
    <t>1652</t>
  </si>
  <si>
    <t>860</t>
  </si>
  <si>
    <t>temephos</t>
  </si>
  <si>
    <t>3383-96-8</t>
  </si>
  <si>
    <t>861</t>
  </si>
  <si>
    <t>3-trifluormethylaniline</t>
  </si>
  <si>
    <t>98-16-8</t>
  </si>
  <si>
    <t>pestHerbicide; industrial; aniline</t>
  </si>
  <si>
    <t>862</t>
  </si>
  <si>
    <t>triethyl phosphate</t>
  </si>
  <si>
    <t>78-40-0</t>
  </si>
  <si>
    <t>C74782</t>
  </si>
  <si>
    <t>3120; 1891</t>
  </si>
  <si>
    <t>863</t>
  </si>
  <si>
    <t>4-chlorophenyl isocyanate</t>
  </si>
  <si>
    <t>104-12-1</t>
  </si>
  <si>
    <t>pestHerbicide; industrial</t>
  </si>
  <si>
    <t>864</t>
  </si>
  <si>
    <t>3-chloro-4-fluoroaniline</t>
  </si>
  <si>
    <t>367-21-5</t>
  </si>
  <si>
    <t>865</t>
  </si>
  <si>
    <t>4-isopropylaniline</t>
  </si>
  <si>
    <t>99-88-7</t>
  </si>
  <si>
    <t>866</t>
  </si>
  <si>
    <t>carvone</t>
  </si>
  <si>
    <t>99-49-0</t>
  </si>
  <si>
    <t>pestFungicide; personalCare; consumerProduct</t>
  </si>
  <si>
    <t>867</t>
  </si>
  <si>
    <t>2-ethyl-6-methylaniline</t>
  </si>
  <si>
    <t>24549-06-2</t>
  </si>
  <si>
    <t>868</t>
  </si>
  <si>
    <t>profenofos metabolite [4-bromo-2-chlorophenol]</t>
  </si>
  <si>
    <t>3964-56-5</t>
  </si>
  <si>
    <t>869</t>
  </si>
  <si>
    <t>3-aminophenol</t>
  </si>
  <si>
    <t>591-27-5</t>
  </si>
  <si>
    <t>personalCare; industrial; phenol</t>
  </si>
  <si>
    <t>870</t>
  </si>
  <si>
    <t>thymol</t>
  </si>
  <si>
    <t>89-83-8</t>
  </si>
  <si>
    <t>TX002784</t>
  </si>
  <si>
    <t>3023</t>
  </si>
  <si>
    <t>871</t>
  </si>
  <si>
    <t>4-chloro-2-methylaniline</t>
  </si>
  <si>
    <t>95-69-2</t>
  </si>
  <si>
    <t>pestGeneral; industrial; aniline</t>
  </si>
  <si>
    <t>872</t>
  </si>
  <si>
    <t>4-bromoaniline</t>
  </si>
  <si>
    <t>106-40-1</t>
  </si>
  <si>
    <t>873</t>
  </si>
  <si>
    <t>carbofuran-7-phenol</t>
  </si>
  <si>
    <t>1563-38-8</t>
  </si>
  <si>
    <t>pestProduct; phenol</t>
  </si>
  <si>
    <t>874</t>
  </si>
  <si>
    <t>diuron metabolite [3,4-dichlorophenyl isocyanate]</t>
  </si>
  <si>
    <t>102-36-3</t>
  </si>
  <si>
    <t>875</t>
  </si>
  <si>
    <t>2,4,6-trichloroanisole</t>
  </si>
  <si>
    <t>87-40-1</t>
  </si>
  <si>
    <t>876</t>
  </si>
  <si>
    <t>eugenol</t>
  </si>
  <si>
    <t>97-53-0</t>
  </si>
  <si>
    <t>TX002953</t>
  </si>
  <si>
    <t>1796</t>
  </si>
  <si>
    <t>877</t>
  </si>
  <si>
    <t>2,3,6-trichloroanisole</t>
  </si>
  <si>
    <t>50375-10-5</t>
  </si>
  <si>
    <t>878</t>
  </si>
  <si>
    <t>1,3,5-tribromobenzene</t>
  </si>
  <si>
    <t>626-39-1</t>
  </si>
  <si>
    <t>879</t>
  </si>
  <si>
    <t>3-chloro-4-methoxyaniline</t>
  </si>
  <si>
    <t>5345-54-0</t>
  </si>
  <si>
    <t>pestGeneral; aniline</t>
  </si>
  <si>
    <t>880</t>
  </si>
  <si>
    <t>phthalimide</t>
  </si>
  <si>
    <t>85-41-6</t>
  </si>
  <si>
    <t>881</t>
  </si>
  <si>
    <t>tetrahydrophthalimide, cis-1,2,3,6-</t>
  </si>
  <si>
    <t>27813-21-4</t>
  </si>
  <si>
    <t>882</t>
  </si>
  <si>
    <t>cashmeran</t>
  </si>
  <si>
    <t>33704-61-9</t>
  </si>
  <si>
    <t>personalCare</t>
  </si>
  <si>
    <t>883</t>
  </si>
  <si>
    <t>2,4,5-trichloroaniline</t>
  </si>
  <si>
    <t>636-30-6</t>
  </si>
  <si>
    <t>884</t>
  </si>
  <si>
    <t>benzenesulfonamide</t>
  </si>
  <si>
    <t>98-10-2</t>
  </si>
  <si>
    <t>885</t>
  </si>
  <si>
    <t>xmc [3,5-dimethylphenyl n-methylcarbamate]</t>
  </si>
  <si>
    <t>2655-14-3</t>
  </si>
  <si>
    <t>886</t>
  </si>
  <si>
    <t>tolyltriazole [1h-benzotriazole, 5-methyl-]</t>
  </si>
  <si>
    <t>136-85-6</t>
  </si>
  <si>
    <t>887</t>
  </si>
  <si>
    <t>benzoximate metabolite</t>
  </si>
  <si>
    <t>55440-55-6</t>
  </si>
  <si>
    <t>888</t>
  </si>
  <si>
    <t>phorate-oxon</t>
  </si>
  <si>
    <t>2600-69-3</t>
  </si>
  <si>
    <t>889</t>
  </si>
  <si>
    <t>2,4,6-tribromoanisole</t>
  </si>
  <si>
    <t>607-99-8</t>
  </si>
  <si>
    <t>890</t>
  </si>
  <si>
    <t>chlorethoxyfos</t>
  </si>
  <si>
    <t>54593-83-8</t>
  </si>
  <si>
    <t>TX001582</t>
  </si>
  <si>
    <t>1355</t>
  </si>
  <si>
    <t>891</t>
  </si>
  <si>
    <t>dichlofluanid metabolite [dmsa]</t>
  </si>
  <si>
    <t>4710-17-2</t>
  </si>
  <si>
    <t>892</t>
  </si>
  <si>
    <t>methabenzthiazuron [decomposition product]</t>
  </si>
  <si>
    <t>16954-69-1</t>
  </si>
  <si>
    <t>893</t>
  </si>
  <si>
    <t>atrazine-desethyl</t>
  </si>
  <si>
    <t>6190-65-4</t>
  </si>
  <si>
    <t>894</t>
  </si>
  <si>
    <t>2,3,4,5-tertrachloronitrobenzene</t>
  </si>
  <si>
    <t>879-39-0</t>
  </si>
  <si>
    <t>895</t>
  </si>
  <si>
    <t>dioxabenzofos</t>
  </si>
  <si>
    <t>3811-49-2</t>
  </si>
  <si>
    <t>896</t>
  </si>
  <si>
    <t>2,6-dichlorobenzamide</t>
  </si>
  <si>
    <t>2008-58-4</t>
  </si>
  <si>
    <t>897</t>
  </si>
  <si>
    <t>terbuthylazine-desethyl</t>
  </si>
  <si>
    <t>30125-63-4</t>
  </si>
  <si>
    <t>898</t>
  </si>
  <si>
    <t>cadusafos</t>
  </si>
  <si>
    <t>95465-99-9</t>
  </si>
  <si>
    <t>899</t>
  </si>
  <si>
    <t>fenclorim</t>
  </si>
  <si>
    <t>3740-92-9</t>
  </si>
  <si>
    <t>900</t>
  </si>
  <si>
    <t>celestolide</t>
  </si>
  <si>
    <t>13171-00-1</t>
  </si>
  <si>
    <t>901</t>
  </si>
  <si>
    <t>fluoroimide</t>
  </si>
  <si>
    <t>41205-21-4</t>
  </si>
  <si>
    <t>902</t>
  </si>
  <si>
    <t>sebuthylazine-desethyl</t>
  </si>
  <si>
    <t>37019-18-4</t>
  </si>
  <si>
    <t>903</t>
  </si>
  <si>
    <t>tolylfluanid metabolite [dmst]</t>
  </si>
  <si>
    <t>66840-71-9</t>
  </si>
  <si>
    <t>904</t>
  </si>
  <si>
    <t>fenazaflor metabolite</t>
  </si>
  <si>
    <t>4228-88-0</t>
  </si>
  <si>
    <t>905</t>
  </si>
  <si>
    <t>tcep</t>
  </si>
  <si>
    <t>115-96-8</t>
  </si>
  <si>
    <t>C98689; NTP DNT 91-G12; TX002409</t>
  </si>
  <si>
    <t>3151</t>
  </si>
  <si>
    <t>906</t>
  </si>
  <si>
    <t>phantolide</t>
  </si>
  <si>
    <t>15323-35-0</t>
  </si>
  <si>
    <t>PAH; personalCare</t>
  </si>
  <si>
    <t>907</t>
  </si>
  <si>
    <t>benzyl benzoate</t>
  </si>
  <si>
    <t>120-51-4</t>
  </si>
  <si>
    <t>908</t>
  </si>
  <si>
    <t>bufencarb</t>
  </si>
  <si>
    <t>8065-36-9</t>
  </si>
  <si>
    <t>909</t>
  </si>
  <si>
    <t>diazinon-oxon</t>
  </si>
  <si>
    <t>962-58-3</t>
  </si>
  <si>
    <t>TX001416</t>
  </si>
  <si>
    <t>910</t>
  </si>
  <si>
    <t>chlordene, trans-</t>
  </si>
  <si>
    <t>3734-48-3</t>
  </si>
  <si>
    <t>pestInsecticide; industrial</t>
  </si>
  <si>
    <t>911</t>
  </si>
  <si>
    <t>3-indolylacetonitrile</t>
  </si>
  <si>
    <t>771-51-7</t>
  </si>
  <si>
    <t>912</t>
  </si>
  <si>
    <t>cyclopentadecanone</t>
  </si>
  <si>
    <t>502-72-7</t>
  </si>
  <si>
    <t>913</t>
  </si>
  <si>
    <t>aziprotryn metabolite [2-amino-4-isopropylamino-6-methylthio-1,3,5-triazine]</t>
  </si>
  <si>
    <t>4147-57-3</t>
  </si>
  <si>
    <t>914</t>
  </si>
  <si>
    <t>bhc epsilon isomer</t>
  </si>
  <si>
    <t>6108-10-7</t>
  </si>
  <si>
    <t>915</t>
  </si>
  <si>
    <t>tefluthrin, cis-</t>
  </si>
  <si>
    <t>79538-32-2</t>
  </si>
  <si>
    <t>TX000659</t>
  </si>
  <si>
    <t>2978</t>
  </si>
  <si>
    <t>916</t>
  </si>
  <si>
    <t>exaltolide [15-pentadecanolide]</t>
  </si>
  <si>
    <t>106-02-5</t>
  </si>
  <si>
    <t>917</t>
  </si>
  <si>
    <t>azoxybenzene</t>
  </si>
  <si>
    <t>495-48-7</t>
  </si>
  <si>
    <t>918</t>
  </si>
  <si>
    <t>musk amberette</t>
  </si>
  <si>
    <t>83-66-9</t>
  </si>
  <si>
    <t>919</t>
  </si>
  <si>
    <t>methyl [2-naphthoxy]acetate</t>
  </si>
  <si>
    <t>1929-87-9</t>
  </si>
  <si>
    <t>920</t>
  </si>
  <si>
    <t>cyclafuramid</t>
  </si>
  <si>
    <t>34849-42-8</t>
  </si>
  <si>
    <t>921</t>
  </si>
  <si>
    <t>caffeine</t>
  </si>
  <si>
    <t>58-08-2</t>
  </si>
  <si>
    <t>NTP DNT 91-D2; TX001311</t>
  </si>
  <si>
    <t>1307</t>
  </si>
  <si>
    <t>922</t>
  </si>
  <si>
    <t>tebupirimifos</t>
  </si>
  <si>
    <t>96182-53-5</t>
  </si>
  <si>
    <t>TX001623</t>
  </si>
  <si>
    <t>2976</t>
  </si>
  <si>
    <t>923</t>
  </si>
  <si>
    <t>benoxacor</t>
  </si>
  <si>
    <t>98730-04-2</t>
  </si>
  <si>
    <t>924</t>
  </si>
  <si>
    <t>traseolide</t>
  </si>
  <si>
    <t>68140-48-7</t>
  </si>
  <si>
    <t>925</t>
  </si>
  <si>
    <t>tridemorph , 4-tridecyl-</t>
  </si>
  <si>
    <t>24602-86-6</t>
  </si>
  <si>
    <t>TX009888</t>
  </si>
  <si>
    <t>3116</t>
  </si>
  <si>
    <t>926</t>
  </si>
  <si>
    <t>p,p'-ddm [bis[4-chlorophenyl]methane]</t>
  </si>
  <si>
    <t>101-76-8</t>
  </si>
  <si>
    <t>927</t>
  </si>
  <si>
    <t>fenchlorphos-oxon</t>
  </si>
  <si>
    <t>3983-45-7</t>
  </si>
  <si>
    <t>928</t>
  </si>
  <si>
    <t>silthiopham</t>
  </si>
  <si>
    <t>175217-20-6</t>
  </si>
  <si>
    <t>929</t>
  </si>
  <si>
    <t>theobromine</t>
  </si>
  <si>
    <t>83-67-0</t>
  </si>
  <si>
    <t>TX001556</t>
  </si>
  <si>
    <t>3008</t>
  </si>
  <si>
    <t>930</t>
  </si>
  <si>
    <t>diisobutyl phthalate</t>
  </si>
  <si>
    <t>84-69-5</t>
  </si>
  <si>
    <t>TX010385</t>
  </si>
  <si>
    <t>1656</t>
  </si>
  <si>
    <t>931</t>
  </si>
  <si>
    <t>4-nonylphenol</t>
  </si>
  <si>
    <t>104-40-5</t>
  </si>
  <si>
    <t>TX008327</t>
  </si>
  <si>
    <t>932</t>
  </si>
  <si>
    <t>musk xylene</t>
  </si>
  <si>
    <t>81-15-2</t>
  </si>
  <si>
    <t>933</t>
  </si>
  <si>
    <t>tonalide</t>
  </si>
  <si>
    <t>1506-02-1</t>
  </si>
  <si>
    <t>934</t>
  </si>
  <si>
    <t>hydroprene</t>
  </si>
  <si>
    <t>41096-46-2</t>
  </si>
  <si>
    <t>935</t>
  </si>
  <si>
    <t>fenitrothion-oxon</t>
  </si>
  <si>
    <t>2255-17-6</t>
  </si>
  <si>
    <t>936</t>
  </si>
  <si>
    <t>ethofumesate, 2-keto</t>
  </si>
  <si>
    <t>26244-33-7</t>
  </si>
  <si>
    <t>937</t>
  </si>
  <si>
    <t>dimethenamid</t>
  </si>
  <si>
    <t>87674-68-8</t>
  </si>
  <si>
    <t>TX002802</t>
  </si>
  <si>
    <t>1662</t>
  </si>
  <si>
    <t>938</t>
  </si>
  <si>
    <t>flurprimidol</t>
  </si>
  <si>
    <t>56425-91-3</t>
  </si>
  <si>
    <t>939</t>
  </si>
  <si>
    <t>spiroxamine i</t>
  </si>
  <si>
    <t>118134-30-8</t>
  </si>
  <si>
    <t>TX000732</t>
  </si>
  <si>
    <t>2897</t>
  </si>
  <si>
    <t>940</t>
  </si>
  <si>
    <t>musk moskene</t>
  </si>
  <si>
    <t>116-66-5</t>
  </si>
  <si>
    <t>941</t>
  </si>
  <si>
    <t>dipropyl isocinchomeronate</t>
  </si>
  <si>
    <t>136-45-8</t>
  </si>
  <si>
    <t>TX000876</t>
  </si>
  <si>
    <t>1693</t>
  </si>
  <si>
    <t>942</t>
  </si>
  <si>
    <t>azibenzolar-s-methyl</t>
  </si>
  <si>
    <t>135158-54-2</t>
  </si>
  <si>
    <t>TX002811</t>
  </si>
  <si>
    <t>963</t>
  </si>
  <si>
    <t>943</t>
  </si>
  <si>
    <t>simeconazole</t>
  </si>
  <si>
    <t>149508-90-7</t>
  </si>
  <si>
    <t>944</t>
  </si>
  <si>
    <t>cymiazole</t>
  </si>
  <si>
    <t>61676-87-7</t>
  </si>
  <si>
    <t>945</t>
  </si>
  <si>
    <t>flurochloridone, deschloro-</t>
  </si>
  <si>
    <t>999003-03-1</t>
  </si>
  <si>
    <t>transfluthrin</t>
  </si>
  <si>
    <t>118712-89-3</t>
  </si>
  <si>
    <t>propisochlor</t>
  </si>
  <si>
    <t>86763-47-5</t>
  </si>
  <si>
    <t>propargite metabolite [cyclohexanol, 2-[4-tert-butylphenoxy]]</t>
  </si>
  <si>
    <t>130336-40-2</t>
  </si>
  <si>
    <t>bis[2,3,3,3-tetrachloropropyl] ether</t>
  </si>
  <si>
    <t>127-90-2</t>
  </si>
  <si>
    <t>fipronil, desulfinyl-</t>
  </si>
  <si>
    <t>205650-65-3</t>
  </si>
  <si>
    <t>951</t>
  </si>
  <si>
    <t>prosulfocarb</t>
  </si>
  <si>
    <t>52888-80-9</t>
  </si>
  <si>
    <t>952</t>
  </si>
  <si>
    <t>2,4'-dichlorobenzophenone [2,4'-dicofol decomposition product]</t>
  </si>
  <si>
    <t>85-29-0</t>
  </si>
  <si>
    <t>953</t>
  </si>
  <si>
    <t>fenpropidin</t>
  </si>
  <si>
    <t>67306-00-7</t>
  </si>
  <si>
    <t>954</t>
  </si>
  <si>
    <t>orbencarb</t>
  </si>
  <si>
    <t>34622-58-7</t>
  </si>
  <si>
    <t>955</t>
  </si>
  <si>
    <t>musk tibetene [moschustibeten]</t>
  </si>
  <si>
    <t>145-39-1</t>
  </si>
  <si>
    <t>quintozene metabolite [pentachlorophenyl methyl sulfide]</t>
  </si>
  <si>
    <t>1825-19-0</t>
  </si>
  <si>
    <t>957</t>
  </si>
  <si>
    <t>bifenazate metabolite [5-phenyl-o-anisidine ]</t>
  </si>
  <si>
    <t>39811-17-1</t>
  </si>
  <si>
    <t>958</t>
  </si>
  <si>
    <t>triapenthenol</t>
  </si>
  <si>
    <t>76608-88-3</t>
  </si>
  <si>
    <t>959</t>
  </si>
  <si>
    <t>prodiamine</t>
  </si>
  <si>
    <t>29091-21-2</t>
  </si>
  <si>
    <t>TX001421</t>
  </si>
  <si>
    <t>2704</t>
  </si>
  <si>
    <t>960</t>
  </si>
  <si>
    <t>phorate sulfoxide</t>
  </si>
  <si>
    <t>2588-05-8</t>
  </si>
  <si>
    <t>961</t>
  </si>
  <si>
    <t>terbufos-oxon-sulfone</t>
  </si>
  <si>
    <t>56070-15-6</t>
  </si>
  <si>
    <t>962</t>
  </si>
  <si>
    <t>difenoxuron</t>
  </si>
  <si>
    <t>14214-32-5</t>
  </si>
  <si>
    <t>phorate sulfone</t>
  </si>
  <si>
    <t>2588-04-7</t>
  </si>
  <si>
    <t>964</t>
  </si>
  <si>
    <t>sulfanilamide</t>
  </si>
  <si>
    <t>63-74-1</t>
  </si>
  <si>
    <t>musk ketone</t>
  </si>
  <si>
    <t>81-14-1</t>
  </si>
  <si>
    <t>966</t>
  </si>
  <si>
    <t>thiazopyr</t>
  </si>
  <si>
    <t>117718-60-2</t>
  </si>
  <si>
    <t>TX001432</t>
  </si>
  <si>
    <t>3016</t>
  </si>
  <si>
    <t>967</t>
  </si>
  <si>
    <t>rabenzazole</t>
  </si>
  <si>
    <t>40341-04-6</t>
  </si>
  <si>
    <t>968</t>
  </si>
  <si>
    <t>isocarbophos</t>
  </si>
  <si>
    <t>24353-61-5</t>
  </si>
  <si>
    <t>969</t>
  </si>
  <si>
    <t>flufenacet</t>
  </si>
  <si>
    <t>142459-58-3</t>
  </si>
  <si>
    <t>TX000767</t>
  </si>
  <si>
    <t>1847</t>
  </si>
  <si>
    <t>970</t>
  </si>
  <si>
    <t>isofenphos-oxon</t>
  </si>
  <si>
    <t>31120-85-1</t>
  </si>
  <si>
    <t>971</t>
  </si>
  <si>
    <t>isoxaflutole</t>
  </si>
  <si>
    <t>141112-29-0</t>
  </si>
  <si>
    <t>TX000679</t>
  </si>
  <si>
    <t>1996</t>
  </si>
  <si>
    <t>972</t>
  </si>
  <si>
    <t>tetraconazole</t>
  </si>
  <si>
    <t>112281-77-3</t>
  </si>
  <si>
    <t>TX001430</t>
  </si>
  <si>
    <t>3000</t>
  </si>
  <si>
    <t>973</t>
  </si>
  <si>
    <t>fosthiazate i</t>
  </si>
  <si>
    <t>98886-44-3</t>
  </si>
  <si>
    <t>TX006534</t>
  </si>
  <si>
    <t>1872</t>
  </si>
  <si>
    <t>974</t>
  </si>
  <si>
    <t>ethidimuron</t>
  </si>
  <si>
    <t>30043-49-3</t>
  </si>
  <si>
    <t>975</t>
  </si>
  <si>
    <t>cyprodinil</t>
  </si>
  <si>
    <t>121552-61-2</t>
  </si>
  <si>
    <t>TX000779</t>
  </si>
  <si>
    <t>976</t>
  </si>
  <si>
    <t>phenothiazine</t>
  </si>
  <si>
    <t>92-84-2</t>
  </si>
  <si>
    <t>TX002554</t>
  </si>
  <si>
    <t>2643</t>
  </si>
  <si>
    <t>977</t>
  </si>
  <si>
    <t>chlorbicyclen</t>
  </si>
  <si>
    <t>2550-75-6</t>
  </si>
  <si>
    <t>978</t>
  </si>
  <si>
    <t>terbufos-sulfone</t>
  </si>
  <si>
    <t>56070-16-7</t>
  </si>
  <si>
    <t>979</t>
  </si>
  <si>
    <t>chlorfenvinphos, cis-</t>
  </si>
  <si>
    <t>18708-87-7</t>
  </si>
  <si>
    <t>980</t>
  </si>
  <si>
    <t>fipronil-sulfide</t>
  </si>
  <si>
    <t>120067-83-6</t>
  </si>
  <si>
    <t>981</t>
  </si>
  <si>
    <t>dimepiperate</t>
  </si>
  <si>
    <t>61432-55-1</t>
  </si>
  <si>
    <t>982</t>
  </si>
  <si>
    <t>irgarol</t>
  </si>
  <si>
    <t>28159-98-0</t>
  </si>
  <si>
    <t>983</t>
  </si>
  <si>
    <t>chlorfenvinphos, trans-</t>
  </si>
  <si>
    <t>18708-86-6</t>
  </si>
  <si>
    <t>984</t>
  </si>
  <si>
    <t>fluazinam</t>
  </si>
  <si>
    <t>79622-59-6</t>
  </si>
  <si>
    <t>TX000777</t>
  </si>
  <si>
    <t>1844</t>
  </si>
  <si>
    <t>985</t>
  </si>
  <si>
    <t>mcpa-butoxyethyl ester</t>
  </si>
  <si>
    <t>19480-43-4</t>
  </si>
  <si>
    <t>986</t>
  </si>
  <si>
    <t>fipronil</t>
  </si>
  <si>
    <t>120068-37-3</t>
  </si>
  <si>
    <t>TX001412</t>
  </si>
  <si>
    <t>1829</t>
  </si>
  <si>
    <t>987</t>
  </si>
  <si>
    <t>zoxamide decomposition product</t>
  </si>
  <si>
    <t>999006-03-0</t>
  </si>
  <si>
    <t>988</t>
  </si>
  <si>
    <t>beflubutamid</t>
  </si>
  <si>
    <t>113614-08-7</t>
  </si>
  <si>
    <t>989</t>
  </si>
  <si>
    <t>triclosan</t>
  </si>
  <si>
    <t>3380-34-5</t>
  </si>
  <si>
    <t>TX011587</t>
  </si>
  <si>
    <t>3112</t>
  </si>
  <si>
    <t>990</t>
  </si>
  <si>
    <t>ddmu [1-chloro-2,2-bis[4'-chlorophenyl]ethylene]</t>
  </si>
  <si>
    <t>1022-22-6</t>
  </si>
  <si>
    <t>991</t>
  </si>
  <si>
    <t>prallethrin, cis-</t>
  </si>
  <si>
    <t>23031-36-9</t>
  </si>
  <si>
    <t>TX001426</t>
  </si>
  <si>
    <t>2691</t>
  </si>
  <si>
    <t>992</t>
  </si>
  <si>
    <t>propaphos</t>
  </si>
  <si>
    <t>7292-16-2</t>
  </si>
  <si>
    <t>993</t>
  </si>
  <si>
    <t>fenothiocarb</t>
  </si>
  <si>
    <t>62850-32-2</t>
  </si>
  <si>
    <t>994</t>
  </si>
  <si>
    <t>trichlamide</t>
  </si>
  <si>
    <t>70193-21-4</t>
  </si>
  <si>
    <t>995</t>
  </si>
  <si>
    <t>haloxyfop-methyl</t>
  </si>
  <si>
    <t>69806-40-2</t>
  </si>
  <si>
    <t>996</t>
  </si>
  <si>
    <t>triclosan-methyl</t>
  </si>
  <si>
    <t>4640-01-1</t>
  </si>
  <si>
    <t>mepanipyrim</t>
  </si>
  <si>
    <t>110235-47-7</t>
  </si>
  <si>
    <t>TX011722</t>
  </si>
  <si>
    <t>2122</t>
  </si>
  <si>
    <t>998</t>
  </si>
  <si>
    <t>bromfenvinphos-[e]</t>
  </si>
  <si>
    <t>58580-14-6</t>
  </si>
  <si>
    <t>999</t>
  </si>
  <si>
    <t>triazamate</t>
  </si>
  <si>
    <t>112143-82-5</t>
  </si>
  <si>
    <t>bromfenvinphos-[z]</t>
  </si>
  <si>
    <t>58580-13-5</t>
  </si>
  <si>
    <t>1001</t>
  </si>
  <si>
    <t>picoxystrobin</t>
  </si>
  <si>
    <t>117428-22-5</t>
  </si>
  <si>
    <t>TX011622</t>
  </si>
  <si>
    <t>2653</t>
  </si>
  <si>
    <t>fluazolate</t>
  </si>
  <si>
    <t>174514-07-9</t>
  </si>
  <si>
    <t>1003</t>
  </si>
  <si>
    <t>metominostrobin [e]</t>
  </si>
  <si>
    <t>133408-50-1</t>
  </si>
  <si>
    <t>1004</t>
  </si>
  <si>
    <t>fludioxonil</t>
  </si>
  <si>
    <t>131341-86-1</t>
  </si>
  <si>
    <t>TX001417</t>
  </si>
  <si>
    <t>1846</t>
  </si>
  <si>
    <t>1005</t>
  </si>
  <si>
    <t>fensulfothion-oxon</t>
  </si>
  <si>
    <t>6552-21-2</t>
  </si>
  <si>
    <t>1006</t>
  </si>
  <si>
    <t>prothioconazole-desthio</t>
  </si>
  <si>
    <t>999007-03-3</t>
  </si>
  <si>
    <t>1007</t>
  </si>
  <si>
    <t>iprovalicarb i</t>
  </si>
  <si>
    <t>140923-25-7</t>
  </si>
  <si>
    <t>1008</t>
  </si>
  <si>
    <t>p,p'-dibromobenzophenone</t>
  </si>
  <si>
    <t>3988-03-2</t>
  </si>
  <si>
    <t>1009</t>
  </si>
  <si>
    <t>toxaphene parlar 26</t>
  </si>
  <si>
    <t>142534-71-2</t>
  </si>
  <si>
    <t>imazamethabenz-methyl i</t>
  </si>
  <si>
    <t>81405-85-8</t>
  </si>
  <si>
    <t>1011</t>
  </si>
  <si>
    <t>fipronil-sulfone</t>
  </si>
  <si>
    <t>120068-36-2</t>
  </si>
  <si>
    <t>1012</t>
  </si>
  <si>
    <t>bupirimate</t>
  </si>
  <si>
    <t>41483-43-6</t>
  </si>
  <si>
    <t>1013</t>
  </si>
  <si>
    <t>thifluzamide</t>
  </si>
  <si>
    <t>130000-40-7</t>
  </si>
  <si>
    <t>cyproconazole</t>
  </si>
  <si>
    <t>113096-99-4</t>
  </si>
  <si>
    <t>1015</t>
  </si>
  <si>
    <t>kresoxim-methyl</t>
  </si>
  <si>
    <t>143390-89-0</t>
  </si>
  <si>
    <t>1016</t>
  </si>
  <si>
    <t>fensulfothion-oxon -sulfone</t>
  </si>
  <si>
    <t>6132-17-8</t>
  </si>
  <si>
    <t>1017</t>
  </si>
  <si>
    <t>carpropamid</t>
  </si>
  <si>
    <t>104030-54-8</t>
  </si>
  <si>
    <t>1018</t>
  </si>
  <si>
    <t>chlorfenapyr</t>
  </si>
  <si>
    <t>122453-73-0</t>
  </si>
  <si>
    <t>1019</t>
  </si>
  <si>
    <t>cyflufenamid</t>
  </si>
  <si>
    <t>180409-60-3</t>
  </si>
  <si>
    <t>1020</t>
  </si>
  <si>
    <t>fenoxanil</t>
  </si>
  <si>
    <t>115852-48-7</t>
  </si>
  <si>
    <t>1021</t>
  </si>
  <si>
    <t>ortho-aminoazotoluene</t>
  </si>
  <si>
    <t>97-56-3</t>
  </si>
  <si>
    <t>TX008702</t>
  </si>
  <si>
    <t>1022</t>
  </si>
  <si>
    <t>fenthion-sulfone</t>
  </si>
  <si>
    <t>3761-42-0</t>
  </si>
  <si>
    <t>1023</t>
  </si>
  <si>
    <t>aclonifen</t>
  </si>
  <si>
    <t>74070-46-5</t>
  </si>
  <si>
    <t>1024</t>
  </si>
  <si>
    <t>fensulfothion-sulfone</t>
  </si>
  <si>
    <t>14255-72-2</t>
  </si>
  <si>
    <t>1025</t>
  </si>
  <si>
    <t>chlorbenside sulfone</t>
  </si>
  <si>
    <t>7082-99-7</t>
  </si>
  <si>
    <t>1026</t>
  </si>
  <si>
    <t>pbb 52</t>
  </si>
  <si>
    <t>59080-37-4</t>
  </si>
  <si>
    <t>1027</t>
  </si>
  <si>
    <t>isoxadifen-ethyl</t>
  </si>
  <si>
    <t>163520-33-0</t>
  </si>
  <si>
    <t>ofurace</t>
  </si>
  <si>
    <t>58810-48-3</t>
  </si>
  <si>
    <t>1029</t>
  </si>
  <si>
    <t>pyrethrin i</t>
  </si>
  <si>
    <t>121-21-1</t>
  </si>
  <si>
    <t>quinoxyfen</t>
  </si>
  <si>
    <t>124495-18-7</t>
  </si>
  <si>
    <t>TX000657</t>
  </si>
  <si>
    <t>2752</t>
  </si>
  <si>
    <t>methoxychlor olefin</t>
  </si>
  <si>
    <t>2132-70-9</t>
  </si>
  <si>
    <t>1032</t>
  </si>
  <si>
    <t>diofenolan i</t>
  </si>
  <si>
    <t>63837-33-2</t>
  </si>
  <si>
    <t>1033</t>
  </si>
  <si>
    <t>fenhexamid</t>
  </si>
  <si>
    <t>126833-17-8</t>
  </si>
  <si>
    <t>TX000761</t>
  </si>
  <si>
    <t>1820</t>
  </si>
  <si>
    <t>1034</t>
  </si>
  <si>
    <t>di-n-hexyl phthalate</t>
  </si>
  <si>
    <t>84-75-3</t>
  </si>
  <si>
    <t>TX004331</t>
  </si>
  <si>
    <t>1654</t>
  </si>
  <si>
    <t>1035</t>
  </si>
  <si>
    <t>carfentrazone-ethyl</t>
  </si>
  <si>
    <t>128639-02-1</t>
  </si>
  <si>
    <t>TX001409</t>
  </si>
  <si>
    <t>1323</t>
  </si>
  <si>
    <t>1036</t>
  </si>
  <si>
    <t>clodinafop-propargyl</t>
  </si>
  <si>
    <t>105512-06-9</t>
  </si>
  <si>
    <t>TX000951</t>
  </si>
  <si>
    <t>1381</t>
  </si>
  <si>
    <t>1037</t>
  </si>
  <si>
    <t>trifloxystrobin</t>
  </si>
  <si>
    <t>141517-21-7</t>
  </si>
  <si>
    <t>TX000765</t>
  </si>
  <si>
    <t>3125</t>
  </si>
  <si>
    <t>1038</t>
  </si>
  <si>
    <t>pyraflufen-ethyl</t>
  </si>
  <si>
    <t>129630-19-9</t>
  </si>
  <si>
    <t>TX000977</t>
  </si>
  <si>
    <t>2737</t>
  </si>
  <si>
    <t>1039</t>
  </si>
  <si>
    <t>pyriminobac-methyl [e]</t>
  </si>
  <si>
    <t>136191-64-5</t>
  </si>
  <si>
    <t>1040</t>
  </si>
  <si>
    <t>toxaphene parlar 50</t>
  </si>
  <si>
    <t>66860-80-8</t>
  </si>
  <si>
    <t>1041</t>
  </si>
  <si>
    <t>tris[2-butoxyethyl] phosphate</t>
  </si>
  <si>
    <t>78-51-3</t>
  </si>
  <si>
    <t>C76051</t>
  </si>
  <si>
    <t>3150; 3146; 2651</t>
  </si>
  <si>
    <t>1042</t>
  </si>
  <si>
    <t>zoxamide</t>
  </si>
  <si>
    <t>156052-68-5</t>
  </si>
  <si>
    <t>TX001428</t>
  </si>
  <si>
    <t>3299</t>
  </si>
  <si>
    <t>1043</t>
  </si>
  <si>
    <t>mefenpyr-diethyl</t>
  </si>
  <si>
    <t>135590-91-9</t>
  </si>
  <si>
    <t>1044</t>
  </si>
  <si>
    <t>fenpiclonil</t>
  </si>
  <si>
    <t>74738-17-3</t>
  </si>
  <si>
    <t>1045</t>
  </si>
  <si>
    <t>spiromesifen</t>
  </si>
  <si>
    <t>283594-90-1</t>
  </si>
  <si>
    <t>1046</t>
  </si>
  <si>
    <t>fenamiphos sulfoxide</t>
  </si>
  <si>
    <t>31972-43-7</t>
  </si>
  <si>
    <t>1047</t>
  </si>
  <si>
    <t>bromuconazole i</t>
  </si>
  <si>
    <t>116255-48-2</t>
  </si>
  <si>
    <t>1048</t>
  </si>
  <si>
    <t>sudan i</t>
  </si>
  <si>
    <t>842-07-9</t>
  </si>
  <si>
    <t>TX008660</t>
  </si>
  <si>
    <t>1273</t>
  </si>
  <si>
    <t>1049</t>
  </si>
  <si>
    <t>fenamiphos-sulfone</t>
  </si>
  <si>
    <t>31972-44-8</t>
  </si>
  <si>
    <t>1050</t>
  </si>
  <si>
    <t>ethoxyfen-ethyl</t>
  </si>
  <si>
    <t>131086-42-5</t>
  </si>
  <si>
    <t>1051</t>
  </si>
  <si>
    <t>dimoxystrobin</t>
  </si>
  <si>
    <t>149961-52-4</t>
  </si>
  <si>
    <t>1052</t>
  </si>
  <si>
    <t>tris[2-ethylhexyl] phosphate</t>
  </si>
  <si>
    <t>78-42-2</t>
  </si>
  <si>
    <t>C76461; TX009320</t>
  </si>
  <si>
    <t>3154; 3148</t>
  </si>
  <si>
    <t>1053</t>
  </si>
  <si>
    <t>bis[2-butoxyethyl] phthalate</t>
  </si>
  <si>
    <t>117-83-9</t>
  </si>
  <si>
    <t>1054</t>
  </si>
  <si>
    <t>picolinafen</t>
  </si>
  <si>
    <t>137641-05-5</t>
  </si>
  <si>
    <t>1055</t>
  </si>
  <si>
    <t>cloquintocet-mexyl</t>
  </si>
  <si>
    <t>99607-70-2</t>
  </si>
  <si>
    <t>1056</t>
  </si>
  <si>
    <t>etoxazole</t>
  </si>
  <si>
    <t>153233-91-1</t>
  </si>
  <si>
    <t>TX009157</t>
  </si>
  <si>
    <t>1794</t>
  </si>
  <si>
    <t>1057</t>
  </si>
  <si>
    <t>sulfentrazone</t>
  </si>
  <si>
    <t>122836-35-5</t>
  </si>
  <si>
    <t>TX001447</t>
  </si>
  <si>
    <t>2912</t>
  </si>
  <si>
    <t>1058</t>
  </si>
  <si>
    <t>metconazole i</t>
  </si>
  <si>
    <t>125116-23-6</t>
  </si>
  <si>
    <t>1059</t>
  </si>
  <si>
    <t>fenamidone</t>
  </si>
  <si>
    <t>161326-34-7</t>
  </si>
  <si>
    <t>TX000803</t>
  </si>
  <si>
    <t>1815</t>
  </si>
  <si>
    <t>1060</t>
  </si>
  <si>
    <t>fenazaquin</t>
  </si>
  <si>
    <t>120928-09-8</t>
  </si>
  <si>
    <t>1061</t>
  </si>
  <si>
    <t>tebufenpyrad</t>
  </si>
  <si>
    <t>119168-77-3</t>
  </si>
  <si>
    <t>TX001429</t>
  </si>
  <si>
    <t>2975</t>
  </si>
  <si>
    <t>1062</t>
  </si>
  <si>
    <t>anilofos</t>
  </si>
  <si>
    <t>64249-01-0</t>
  </si>
  <si>
    <t>1063</t>
  </si>
  <si>
    <t>fenchlorazole-ethyl</t>
  </si>
  <si>
    <t>103112-35-2</t>
  </si>
  <si>
    <t>1064</t>
  </si>
  <si>
    <t>phenothrin i</t>
  </si>
  <si>
    <t>51186-88-0</t>
  </si>
  <si>
    <t>1065</t>
  </si>
  <si>
    <t>toxaphene parlar 62</t>
  </si>
  <si>
    <t>154159-06-5</t>
  </si>
  <si>
    <t>1066</t>
  </si>
  <si>
    <t>phenothrin ii</t>
  </si>
  <si>
    <t>26046-85-5</t>
  </si>
  <si>
    <t>1067</t>
  </si>
  <si>
    <t>diphenyl phthalate</t>
  </si>
  <si>
    <t>84-62-8</t>
  </si>
  <si>
    <t>pestGeneral; industrial</t>
  </si>
  <si>
    <t>1068</t>
  </si>
  <si>
    <t>potasan</t>
  </si>
  <si>
    <t>299-45-6</t>
  </si>
  <si>
    <t>1069</t>
  </si>
  <si>
    <t>flurtamone</t>
  </si>
  <si>
    <t>96525-23-4</t>
  </si>
  <si>
    <t>1070</t>
  </si>
  <si>
    <t>pyriproxyfen</t>
  </si>
  <si>
    <t>95737-68-1</t>
  </si>
  <si>
    <t>TX000973</t>
  </si>
  <si>
    <t>2746</t>
  </si>
  <si>
    <t>1071</t>
  </si>
  <si>
    <t>cyhalofop-butyl</t>
  </si>
  <si>
    <t>122008-85-9</t>
  </si>
  <si>
    <t>TX001431</t>
  </si>
  <si>
    <t>1072</t>
  </si>
  <si>
    <t>naproanilide</t>
  </si>
  <si>
    <t>52570-16-8</t>
  </si>
  <si>
    <t>1073</t>
  </si>
  <si>
    <t>ioxynil octanoate</t>
  </si>
  <si>
    <t>3861-47-0</t>
  </si>
  <si>
    <t>1074</t>
  </si>
  <si>
    <t>trifenmorph</t>
  </si>
  <si>
    <t>1420-06-0</t>
  </si>
  <si>
    <t>1075</t>
  </si>
  <si>
    <t>lactofen</t>
  </si>
  <si>
    <t>77501-63-4</t>
  </si>
  <si>
    <t>TX000902</t>
  </si>
  <si>
    <t>2064</t>
  </si>
  <si>
    <t>1076</t>
  </si>
  <si>
    <t>pyriftalid</t>
  </si>
  <si>
    <t>135186-78-6</t>
  </si>
  <si>
    <t>1077</t>
  </si>
  <si>
    <t>acrinathrin</t>
  </si>
  <si>
    <t>101007-06-1</t>
  </si>
  <si>
    <t>1078</t>
  </si>
  <si>
    <t>fluoroglycofen-ethyl</t>
  </si>
  <si>
    <t>77501-90-7</t>
  </si>
  <si>
    <t>1079</t>
  </si>
  <si>
    <t>benfuracarb</t>
  </si>
  <si>
    <t>82560-54-1</t>
  </si>
  <si>
    <t>1080</t>
  </si>
  <si>
    <t>tricresylphosphate, ortho-</t>
  </si>
  <si>
    <t>78-30-8</t>
  </si>
  <si>
    <t>C17978</t>
  </si>
  <si>
    <t>3136</t>
  </si>
  <si>
    <t>1081</t>
  </si>
  <si>
    <t>pyraclofos</t>
  </si>
  <si>
    <t>89784-60-1</t>
  </si>
  <si>
    <t>1082</t>
  </si>
  <si>
    <t>metrafenone</t>
  </si>
  <si>
    <t>220899-03-6</t>
  </si>
  <si>
    <t>1083</t>
  </si>
  <si>
    <t>fenoxaprop-ethyl</t>
  </si>
  <si>
    <t>66441-23-4</t>
  </si>
  <si>
    <t>TX000781</t>
  </si>
  <si>
    <t>1823</t>
  </si>
  <si>
    <t>1084</t>
  </si>
  <si>
    <t>tricresylphosphate, meta-</t>
  </si>
  <si>
    <t>563-04-2</t>
  </si>
  <si>
    <t>C15998</t>
  </si>
  <si>
    <t>3135</t>
  </si>
  <si>
    <t>1085</t>
  </si>
  <si>
    <t>spirodiclofen</t>
  </si>
  <si>
    <t>148477-71-8</t>
  </si>
  <si>
    <t>TX000789</t>
  </si>
  <si>
    <t>2895</t>
  </si>
  <si>
    <t>1086</t>
  </si>
  <si>
    <t>sudan ii</t>
  </si>
  <si>
    <t>3118-97-6</t>
  </si>
  <si>
    <t>1087</t>
  </si>
  <si>
    <t>fluquinconazole</t>
  </si>
  <si>
    <t>136426-54-5</t>
  </si>
  <si>
    <t>1088</t>
  </si>
  <si>
    <t>2,4,5-trichloro-p-terphenyl</t>
  </si>
  <si>
    <t>999008-03-6</t>
  </si>
  <si>
    <t>1089</t>
  </si>
  <si>
    <t>butafenacil</t>
  </si>
  <si>
    <t>134605-64-4</t>
  </si>
  <si>
    <t>TX001419</t>
  </si>
  <si>
    <t>1263</t>
  </si>
  <si>
    <t>1090</t>
  </si>
  <si>
    <t>cafenstrole</t>
  </si>
  <si>
    <t>125306-83-4</t>
  </si>
  <si>
    <t>1091</t>
  </si>
  <si>
    <t>2,3,5,6-tetrachloro-p-terphenyl</t>
  </si>
  <si>
    <t>61576-99-6</t>
  </si>
  <si>
    <t>1092</t>
  </si>
  <si>
    <t>fluoxastrobin cis-</t>
  </si>
  <si>
    <t>361377-29-9</t>
  </si>
  <si>
    <t>TX000677</t>
  </si>
  <si>
    <t>1856</t>
  </si>
  <si>
    <t>1093</t>
  </si>
  <si>
    <t>boscalid [nicobifen]</t>
  </si>
  <si>
    <t>188425-85-6</t>
  </si>
  <si>
    <t>TX009148</t>
  </si>
  <si>
    <t>1094</t>
  </si>
  <si>
    <t>halfenprox</t>
  </si>
  <si>
    <t>111872-58-3</t>
  </si>
  <si>
    <t>1095</t>
  </si>
  <si>
    <t>cekafix</t>
  </si>
  <si>
    <t>121227-99-4</t>
  </si>
  <si>
    <t>1096</t>
  </si>
  <si>
    <t>ethofenprox</t>
  </si>
  <si>
    <t>80844-07-1</t>
  </si>
  <si>
    <t>TX003564</t>
  </si>
  <si>
    <t>1792</t>
  </si>
  <si>
    <t>1097</t>
  </si>
  <si>
    <t>acequinocyl</t>
  </si>
  <si>
    <t>57960-19-7</t>
  </si>
  <si>
    <t>pestGeneral; OPAH</t>
  </si>
  <si>
    <t>1098</t>
  </si>
  <si>
    <t>silafluofen</t>
  </si>
  <si>
    <t>105024-66-6</t>
  </si>
  <si>
    <t>1099</t>
  </si>
  <si>
    <t>pyrimidifen</t>
  </si>
  <si>
    <t>105779-78-0</t>
  </si>
  <si>
    <t>1100</t>
  </si>
  <si>
    <t>di-n-nonyl phthalate</t>
  </si>
  <si>
    <t>84-76-4</t>
  </si>
  <si>
    <t>1101</t>
  </si>
  <si>
    <t>flumiclorac-pentyl</t>
  </si>
  <si>
    <t>87546-18-7</t>
  </si>
  <si>
    <t>TX001554</t>
  </si>
  <si>
    <t>1851</t>
  </si>
  <si>
    <t>1102</t>
  </si>
  <si>
    <t>azoxystrobin</t>
  </si>
  <si>
    <t>131860-33-8</t>
  </si>
  <si>
    <t>TX011595</t>
  </si>
  <si>
    <t>1121</t>
  </si>
  <si>
    <t>1103</t>
  </si>
  <si>
    <t>famoxadon</t>
  </si>
  <si>
    <t>131807-57-3</t>
  </si>
  <si>
    <t>TX001402</t>
  </si>
  <si>
    <t>1804</t>
  </si>
  <si>
    <t>1104</t>
  </si>
  <si>
    <t>tolfenpyrad</t>
  </si>
  <si>
    <t>129558-76-5</t>
  </si>
  <si>
    <t>dimethomorph-[e]</t>
  </si>
  <si>
    <t>110488-70-5</t>
  </si>
  <si>
    <t>TX000683</t>
  </si>
  <si>
    <t>1665</t>
  </si>
  <si>
    <t>1106</t>
  </si>
  <si>
    <t>cinidon-ethyl</t>
  </si>
  <si>
    <t>142891-20-1</t>
  </si>
  <si>
    <t>1107</t>
  </si>
  <si>
    <t>rotenone</t>
  </si>
  <si>
    <t>83-79-4</t>
  </si>
  <si>
    <t>NTP DNT 91-G3; TX000939</t>
  </si>
  <si>
    <t>2813</t>
  </si>
  <si>
    <t>1108</t>
  </si>
  <si>
    <t>spiroxamine metabolite [4-tert-butylcyclohexanone]</t>
  </si>
  <si>
    <t>98-53-3</t>
  </si>
  <si>
    <t>1109</t>
  </si>
  <si>
    <t>tolyltriazole [1h-benzotriazole, 4-methyl-]</t>
  </si>
  <si>
    <t>29878-31-7</t>
  </si>
  <si>
    <t>1110</t>
  </si>
  <si>
    <t>ipconazole</t>
  </si>
  <si>
    <t>125225-28-7</t>
  </si>
  <si>
    <t>1111</t>
  </si>
  <si>
    <t>triticonazole</t>
  </si>
  <si>
    <t>131983-72-7</t>
  </si>
  <si>
    <t>TX009151</t>
  </si>
  <si>
    <t>3158</t>
  </si>
  <si>
    <t>1112</t>
  </si>
  <si>
    <t>norflurazon, desmethyl-</t>
  </si>
  <si>
    <t>23576-24-1</t>
  </si>
  <si>
    <t>1113</t>
  </si>
  <si>
    <t>empenthrin i</t>
  </si>
  <si>
    <t>54406-48-3</t>
  </si>
  <si>
    <t>1114</t>
  </si>
  <si>
    <t>diphacinone</t>
  </si>
  <si>
    <t>82-66-6</t>
  </si>
  <si>
    <t>pestRodenticide; PAH</t>
  </si>
  <si>
    <t>1115</t>
  </si>
  <si>
    <t>pyrazoxyfen</t>
  </si>
  <si>
    <t>71561-11-0</t>
  </si>
  <si>
    <t>1116</t>
  </si>
  <si>
    <t>fenobucarb</t>
  </si>
  <si>
    <t>3766-81-2</t>
  </si>
  <si>
    <t>1117</t>
  </si>
  <si>
    <t>cymoxanil</t>
  </si>
  <si>
    <t>57966-95-7</t>
  </si>
  <si>
    <t>TX001425</t>
  </si>
  <si>
    <t>1118</t>
  </si>
  <si>
    <t>monolinuron</t>
  </si>
  <si>
    <t>1746-81-2</t>
  </si>
  <si>
    <t>aziprotryne</t>
  </si>
  <si>
    <t>4658-28-0</t>
  </si>
  <si>
    <t>chlorfenethol</t>
  </si>
  <si>
    <t>80-06-8</t>
  </si>
  <si>
    <t>oxyfluorfen</t>
  </si>
  <si>
    <t>42874-03-3</t>
  </si>
  <si>
    <t>TX000752</t>
  </si>
  <si>
    <t>2498</t>
  </si>
  <si>
    <t>1122</t>
  </si>
  <si>
    <t>azamethiphos</t>
  </si>
  <si>
    <t>35575-96-3</t>
  </si>
  <si>
    <t>TX000750</t>
  </si>
  <si>
    <t>1123</t>
  </si>
  <si>
    <t>acetamiprid</t>
  </si>
  <si>
    <t>135410-20-7</t>
  </si>
  <si>
    <t>TX000801</t>
  </si>
  <si>
    <t>1124</t>
  </si>
  <si>
    <t>cyphenothrin cis-</t>
  </si>
  <si>
    <t>39515-40-7</t>
  </si>
  <si>
    <t>1125</t>
  </si>
  <si>
    <t>sudan red</t>
  </si>
  <si>
    <t>1229-55-6</t>
  </si>
  <si>
    <t>1126</t>
  </si>
  <si>
    <t>fluthiacet-methyl</t>
  </si>
  <si>
    <t>117337-19-6</t>
  </si>
  <si>
    <t>TX001541</t>
  </si>
  <si>
    <t>1862</t>
  </si>
  <si>
    <t>1127</t>
  </si>
  <si>
    <t>diclocymet i</t>
  </si>
  <si>
    <t>139920-32-4</t>
  </si>
  <si>
    <t>1128</t>
  </si>
  <si>
    <t>fluacrypyrim</t>
  </si>
  <si>
    <t>229977-93-9</t>
  </si>
  <si>
    <t>1129</t>
  </si>
  <si>
    <t>flumioxazin</t>
  </si>
  <si>
    <t>103361-09-7</t>
  </si>
  <si>
    <t>TX001405</t>
  </si>
  <si>
    <t>1852</t>
  </si>
  <si>
    <t>1130</t>
  </si>
  <si>
    <t>furilazole</t>
  </si>
  <si>
    <t>121776-33-8</t>
  </si>
  <si>
    <t>1131</t>
  </si>
  <si>
    <t>cyhalothrin [gamma]</t>
  </si>
  <si>
    <t>76703-62-3</t>
  </si>
  <si>
    <t>1132</t>
  </si>
  <si>
    <t>imibenconazole</t>
  </si>
  <si>
    <t>86598-92-7</t>
  </si>
  <si>
    <t>1133</t>
  </si>
  <si>
    <t>imibenconazole-desbenzyl</t>
  </si>
  <si>
    <t>199338-48-2</t>
  </si>
  <si>
    <t>1134</t>
  </si>
  <si>
    <t>prohydrojasmon i</t>
  </si>
  <si>
    <t>158474-72-7</t>
  </si>
  <si>
    <t>1135</t>
  </si>
  <si>
    <t>jasmolin i</t>
  </si>
  <si>
    <t>4466-14-2</t>
  </si>
  <si>
    <t>1136</t>
  </si>
  <si>
    <t>cinerin i</t>
  </si>
  <si>
    <t>25402-06-6</t>
  </si>
  <si>
    <t>1137</t>
  </si>
  <si>
    <t>cinerin ii</t>
  </si>
  <si>
    <t>121-20-0</t>
  </si>
  <si>
    <t>1138</t>
  </si>
  <si>
    <t>jasmolin ii</t>
  </si>
  <si>
    <t>1172-63-0</t>
  </si>
  <si>
    <t>1139</t>
  </si>
  <si>
    <t>pyrethrin ii</t>
  </si>
  <si>
    <t>121-29-9</t>
  </si>
  <si>
    <t>1140</t>
  </si>
  <si>
    <t>heptachlor epoxide isomer a</t>
  </si>
  <si>
    <t>28044-83-9</t>
  </si>
  <si>
    <t>1141</t>
  </si>
  <si>
    <t>dimethylvinphos[e]</t>
  </si>
  <si>
    <t>71363-52-5</t>
  </si>
  <si>
    <t>1143</t>
  </si>
  <si>
    <t>benzo[a]pyrene-7,8-dione</t>
  </si>
  <si>
    <t>65199-11-3</t>
  </si>
  <si>
    <t>tiocarbazil ii</t>
  </si>
  <si>
    <t>999051-03-5</t>
  </si>
  <si>
    <t>1161</t>
  </si>
  <si>
    <t>flurochloridone ii</t>
  </si>
  <si>
    <t>999043-03-7</t>
  </si>
  <si>
    <t>1162</t>
  </si>
  <si>
    <t>dodemorph ii</t>
  </si>
  <si>
    <t>999040-03-8</t>
  </si>
  <si>
    <t>methoprene ii</t>
  </si>
  <si>
    <t>999045-03-3</t>
  </si>
  <si>
    <t>1164</t>
  </si>
  <si>
    <t>pyrifenox ii</t>
  </si>
  <si>
    <t>999049-03-5</t>
  </si>
  <si>
    <t>1165</t>
  </si>
  <si>
    <t>propiconazole-ii</t>
  </si>
  <si>
    <t>999048-03-2</t>
  </si>
  <si>
    <t>1166</t>
  </si>
  <si>
    <t>dinocap ii</t>
  </si>
  <si>
    <t>999037-03-5</t>
  </si>
  <si>
    <t>dinocap iii</t>
  </si>
  <si>
    <t>999038-03-8</t>
  </si>
  <si>
    <t>1168</t>
  </si>
  <si>
    <t>tetramethrin ii</t>
  </si>
  <si>
    <t>999050-03-2</t>
  </si>
  <si>
    <t>1169</t>
  </si>
  <si>
    <t>dinocap iv</t>
  </si>
  <si>
    <t>999039-03-1</t>
  </si>
  <si>
    <t>1170</t>
  </si>
  <si>
    <t>d-[cis-trans]-phenothrin-ii</t>
  </si>
  <si>
    <t>999034-03-6</t>
  </si>
  <si>
    <t>1171</t>
  </si>
  <si>
    <t>bitertanol ii</t>
  </si>
  <si>
    <t>999027-03-1</t>
  </si>
  <si>
    <t>permethrin ii</t>
  </si>
  <si>
    <t>999046-03-6</t>
  </si>
  <si>
    <t>cyfluthrin ii</t>
  </si>
  <si>
    <t>999028-03-4</t>
  </si>
  <si>
    <t>cyfluthrin iii</t>
  </si>
  <si>
    <t>999029-03-7</t>
  </si>
  <si>
    <t>cyfluthrin iv</t>
  </si>
  <si>
    <t>999030-03-4</t>
  </si>
  <si>
    <t>cypermethrin-2</t>
  </si>
  <si>
    <t>cypermethrin-3</t>
  </si>
  <si>
    <t>cypermethrin-4</t>
  </si>
  <si>
    <t>1181</t>
  </si>
  <si>
    <t>flucythrinate ii</t>
  </si>
  <si>
    <t>999042-03-4</t>
  </si>
  <si>
    <t>fenvalerate ii</t>
  </si>
  <si>
    <t>999041-03-1</t>
  </si>
  <si>
    <t>1183</t>
  </si>
  <si>
    <t>fluvalinate-tau-ii</t>
  </si>
  <si>
    <t>999044-03-0</t>
  </si>
  <si>
    <t>1184</t>
  </si>
  <si>
    <t>difenoconazol ii</t>
  </si>
  <si>
    <t>999036-03-2</t>
  </si>
  <si>
    <t>empenthrin iv</t>
  </si>
  <si>
    <t>999016-03-4</t>
  </si>
  <si>
    <t>1186</t>
  </si>
  <si>
    <t>empenthrin v</t>
  </si>
  <si>
    <t>999017-03-7</t>
  </si>
  <si>
    <t>spiroxamine ii</t>
  </si>
  <si>
    <t>999026-03-8</t>
  </si>
  <si>
    <t>1188</t>
  </si>
  <si>
    <t>fosthiazate ii</t>
  </si>
  <si>
    <t>999018-03-0</t>
  </si>
  <si>
    <t>1189</t>
  </si>
  <si>
    <t>prallethrin, trans-</t>
  </si>
  <si>
    <t>999023-03-9</t>
  </si>
  <si>
    <t>1190</t>
  </si>
  <si>
    <t>metominostrobin [z]</t>
  </si>
  <si>
    <t>999022-03-6</t>
  </si>
  <si>
    <t>iprovalicarb ii</t>
  </si>
  <si>
    <t>999020-03-0</t>
  </si>
  <si>
    <t>1192</t>
  </si>
  <si>
    <t>aramite ii</t>
  </si>
  <si>
    <t>999009-03-9</t>
  </si>
  <si>
    <t>1193</t>
  </si>
  <si>
    <t>imazamethabenz-methyl ii</t>
  </si>
  <si>
    <t>999019-03-3</t>
  </si>
  <si>
    <t>1194</t>
  </si>
  <si>
    <t>pyriminobac-methyl [z]</t>
  </si>
  <si>
    <t>999024-03-2</t>
  </si>
  <si>
    <t>1195</t>
  </si>
  <si>
    <t>diofenolan ii</t>
  </si>
  <si>
    <t>999013-03-5</t>
  </si>
  <si>
    <t>1196</t>
  </si>
  <si>
    <t>resmethrine ii</t>
  </si>
  <si>
    <t>999025-03-5</t>
  </si>
  <si>
    <t>1197</t>
  </si>
  <si>
    <t>bromuconazole ii</t>
  </si>
  <si>
    <t>999010-03-6</t>
  </si>
  <si>
    <t>dimethomorph-[z]</t>
  </si>
  <si>
    <t>999012-03-2</t>
  </si>
  <si>
    <t>metconazole ii</t>
  </si>
  <si>
    <t>999021-03-3</t>
  </si>
  <si>
    <t>1200</t>
  </si>
  <si>
    <t>empenthrin ii</t>
  </si>
  <si>
    <t>999014-03-8</t>
  </si>
  <si>
    <t>1201</t>
  </si>
  <si>
    <t>empenthrin iii</t>
  </si>
  <si>
    <t>999015-03-1</t>
  </si>
  <si>
    <t>1202</t>
  </si>
  <si>
    <t>cyphenothrin trans-</t>
  </si>
  <si>
    <t>999011-03-9</t>
  </si>
  <si>
    <t>1203</t>
  </si>
  <si>
    <t>diclocymet ii</t>
  </si>
  <si>
    <t>999059-03-9</t>
  </si>
  <si>
    <t>1204</t>
  </si>
  <si>
    <t>prohydrojasmon ii</t>
  </si>
  <si>
    <t>999060-03-6</t>
  </si>
  <si>
    <t>1205</t>
  </si>
  <si>
    <t>amitraz metabolite [methanimidamide, n-[2,4-dimethylphenyl]-n'-methyl-]</t>
  </si>
  <si>
    <t>33089-74-6</t>
  </si>
  <si>
    <t>1206</t>
  </si>
  <si>
    <t>xmc [3,4-dimethylphenyl n-methylcarbamate]</t>
  </si>
  <si>
    <t>2425-10-7</t>
  </si>
  <si>
    <t>1207</t>
  </si>
  <si>
    <t>promecarb artifact [5-isopropyl-3-methylphenol]</t>
  </si>
  <si>
    <t>3228-03-3</t>
  </si>
  <si>
    <t>pestInsecticide; phenol</t>
  </si>
  <si>
    <t>1208</t>
  </si>
  <si>
    <t>flurenol-butyl ester</t>
  </si>
  <si>
    <t>2314-09-2</t>
  </si>
  <si>
    <t>1209</t>
  </si>
  <si>
    <t>indoxacarb and dioxacarb decomposition product [phenol, 2-[1,3-dioxolan-2-yl]-]</t>
  </si>
  <si>
    <t>999058-03-6</t>
  </si>
  <si>
    <t>1210</t>
  </si>
  <si>
    <t>pbde 1</t>
  </si>
  <si>
    <t>7025-06-1</t>
  </si>
  <si>
    <t>pbde 2</t>
  </si>
  <si>
    <t>6876-00-2</t>
  </si>
  <si>
    <t>1212</t>
  </si>
  <si>
    <t>pbde 3</t>
  </si>
  <si>
    <t>101-55-3</t>
  </si>
  <si>
    <t>TX007648</t>
  </si>
  <si>
    <t>2554</t>
  </si>
  <si>
    <t>1213</t>
  </si>
  <si>
    <t>pbde 7</t>
  </si>
  <si>
    <t>171977-44-9</t>
  </si>
  <si>
    <t>1214</t>
  </si>
  <si>
    <t>pbde 8</t>
  </si>
  <si>
    <t>147217-71-8</t>
  </si>
  <si>
    <t>1215</t>
  </si>
  <si>
    <t>pbde 10</t>
  </si>
  <si>
    <t>51930-04-2</t>
  </si>
  <si>
    <t>1216</t>
  </si>
  <si>
    <t>pbde 11</t>
  </si>
  <si>
    <t>6903-63-5</t>
  </si>
  <si>
    <t>1217</t>
  </si>
  <si>
    <t>pbde 12</t>
  </si>
  <si>
    <t>189084-59-1</t>
  </si>
  <si>
    <t>1218</t>
  </si>
  <si>
    <t>pbde 13</t>
  </si>
  <si>
    <t>83694-71-7</t>
  </si>
  <si>
    <t>1219</t>
  </si>
  <si>
    <t>pbde 15</t>
  </si>
  <si>
    <t>2050-47-7</t>
  </si>
  <si>
    <t>2690</t>
  </si>
  <si>
    <t>1220</t>
  </si>
  <si>
    <t>pbde 25</t>
  </si>
  <si>
    <t>147217-77-4</t>
  </si>
  <si>
    <t>1221</t>
  </si>
  <si>
    <t>pbde 30</t>
  </si>
  <si>
    <t>155999-95-4</t>
  </si>
  <si>
    <t>1222</t>
  </si>
  <si>
    <t>pbde 32</t>
  </si>
  <si>
    <t>189084-60-4</t>
  </si>
  <si>
    <t>1223</t>
  </si>
  <si>
    <t>pbde 33</t>
  </si>
  <si>
    <t>147217-78-5</t>
  </si>
  <si>
    <t>1224</t>
  </si>
  <si>
    <t>pbde 35</t>
  </si>
  <si>
    <t>147217-80-9</t>
  </si>
  <si>
    <t>1225</t>
  </si>
  <si>
    <t>pbde 37</t>
  </si>
  <si>
    <t>147217-81-0</t>
  </si>
  <si>
    <t>1226</t>
  </si>
  <si>
    <t>pbde 71</t>
  </si>
  <si>
    <t>189084-62-6</t>
  </si>
  <si>
    <t>1227</t>
  </si>
  <si>
    <t>pbde 77</t>
  </si>
  <si>
    <t>93703-48-1</t>
  </si>
  <si>
    <t>1228</t>
  </si>
  <si>
    <t>pbde 116</t>
  </si>
  <si>
    <t>189084-65-9</t>
  </si>
  <si>
    <t>1229</t>
  </si>
  <si>
    <t>pbde 118</t>
  </si>
  <si>
    <t>446254-80-4</t>
  </si>
  <si>
    <t>1230</t>
  </si>
  <si>
    <t>pbde 119</t>
  </si>
  <si>
    <t>189084-66-0</t>
  </si>
  <si>
    <t>1231</t>
  </si>
  <si>
    <t>pbde 138</t>
  </si>
  <si>
    <t>182677-30-1</t>
  </si>
  <si>
    <t>1232</t>
  </si>
  <si>
    <t>pbde 166</t>
  </si>
  <si>
    <t>189084-58-0</t>
  </si>
  <si>
    <t>1238</t>
  </si>
  <si>
    <t>tcpp</t>
  </si>
  <si>
    <t>26248-87-3</t>
  </si>
  <si>
    <t>flameRetardant; industrial; pulpAndPaper; OPFR</t>
  </si>
  <si>
    <t>1239</t>
  </si>
  <si>
    <t>1,2,5,6,9,10-hexabromocyclododecane</t>
  </si>
  <si>
    <t>3194-55-6</t>
  </si>
  <si>
    <t>C81905</t>
  </si>
  <si>
    <t>1244</t>
  </si>
  <si>
    <t>2,6-dimethylphenol</t>
  </si>
  <si>
    <t>576-26-1</t>
  </si>
  <si>
    <t>industrial; consumerProduct; phenol</t>
  </si>
  <si>
    <t>TX003998</t>
  </si>
  <si>
    <t>1245</t>
  </si>
  <si>
    <t>2,5-dimethylphenol</t>
  </si>
  <si>
    <t>95-87-4</t>
  </si>
  <si>
    <t>TX001360</t>
  </si>
  <si>
    <t>2,3,6-trimethylphenol</t>
  </si>
  <si>
    <t>2416-94-6</t>
  </si>
  <si>
    <t>TX002257</t>
  </si>
  <si>
    <t>1247</t>
  </si>
  <si>
    <t>2,4,6-trimethylphenol</t>
  </si>
  <si>
    <t>527-60-6</t>
  </si>
  <si>
    <t>TX002275</t>
  </si>
  <si>
    <t>1248</t>
  </si>
  <si>
    <t>1,2-bis[2,4,6-tribromophenoxy]ethane</t>
  </si>
  <si>
    <t>37853-59-1</t>
  </si>
  <si>
    <t>1249</t>
  </si>
  <si>
    <t>pbb 2</t>
  </si>
  <si>
    <t>2113-57-7</t>
  </si>
  <si>
    <t>pbb 3</t>
  </si>
  <si>
    <t>92-66-0</t>
  </si>
  <si>
    <t>1251</t>
  </si>
  <si>
    <t>pbb 4</t>
  </si>
  <si>
    <t>13029-09-9</t>
  </si>
  <si>
    <t>1252</t>
  </si>
  <si>
    <t>pbb 7</t>
  </si>
  <si>
    <t>53592-10-2</t>
  </si>
  <si>
    <t>1253</t>
  </si>
  <si>
    <t>pbb 9</t>
  </si>
  <si>
    <t>57422-77-2</t>
  </si>
  <si>
    <t>1254</t>
  </si>
  <si>
    <t>pbb 10</t>
  </si>
  <si>
    <t>59080-32-9</t>
  </si>
  <si>
    <t>1255</t>
  </si>
  <si>
    <t>pbb 18</t>
  </si>
  <si>
    <t>59080-34-1</t>
  </si>
  <si>
    <t>1256</t>
  </si>
  <si>
    <t>pbb 26</t>
  </si>
  <si>
    <t>59080-35-2</t>
  </si>
  <si>
    <t>1257</t>
  </si>
  <si>
    <t>pbb 29</t>
  </si>
  <si>
    <t>115245-07-3</t>
  </si>
  <si>
    <t>1258</t>
  </si>
  <si>
    <t>pbb 30</t>
  </si>
  <si>
    <t>59080-33-0</t>
  </si>
  <si>
    <t>pbb 31</t>
  </si>
  <si>
    <t>59080-36-3</t>
  </si>
  <si>
    <t>1260</t>
  </si>
  <si>
    <t>pbb 53</t>
  </si>
  <si>
    <t>60044-25-9</t>
  </si>
  <si>
    <t>1261</t>
  </si>
  <si>
    <t>pbb 77</t>
  </si>
  <si>
    <t>77102-82-0</t>
  </si>
  <si>
    <t>pbb 80</t>
  </si>
  <si>
    <t>16400-50-3</t>
  </si>
  <si>
    <t>pbb-114</t>
  </si>
  <si>
    <t>96551-70-1</t>
  </si>
  <si>
    <t>pbb-101</t>
  </si>
  <si>
    <t>67888-96-4</t>
  </si>
  <si>
    <t>1265</t>
  </si>
  <si>
    <t>pbb-103</t>
  </si>
  <si>
    <t>59080-39-6</t>
  </si>
  <si>
    <t>pbb-137</t>
  </si>
  <si>
    <t>81381-52-4</t>
  </si>
  <si>
    <t>1267</t>
  </si>
  <si>
    <t>pbb-141</t>
  </si>
  <si>
    <t>120991-47-1</t>
  </si>
  <si>
    <t>pbb-153</t>
  </si>
  <si>
    <t>59080-40-9</t>
  </si>
  <si>
    <t>pbb 49</t>
  </si>
  <si>
    <t>60044-24-8</t>
  </si>
  <si>
    <t>1270</t>
  </si>
  <si>
    <t>pbb-155</t>
  </si>
  <si>
    <t>59261-08-4</t>
  </si>
  <si>
    <t>1271</t>
  </si>
  <si>
    <t>pbb-156</t>
  </si>
  <si>
    <t>77607-09-1</t>
  </si>
  <si>
    <t>1272</t>
  </si>
  <si>
    <t>pbb-159</t>
  </si>
  <si>
    <t>120991-48-2</t>
  </si>
  <si>
    <t>pbb-169</t>
  </si>
  <si>
    <t>60044-26-0</t>
  </si>
  <si>
    <t>1274</t>
  </si>
  <si>
    <t>pbb-180</t>
  </si>
  <si>
    <t>67733-52-2</t>
  </si>
  <si>
    <t>1275</t>
  </si>
  <si>
    <t>pbb-189</t>
  </si>
  <si>
    <t>88700-06-5</t>
  </si>
  <si>
    <t>1276</t>
  </si>
  <si>
    <t>pbb-200</t>
  </si>
  <si>
    <t>119264-60-7</t>
  </si>
  <si>
    <t>1277</t>
  </si>
  <si>
    <t>3-bromophenol</t>
  </si>
  <si>
    <t>591-20-8</t>
  </si>
  <si>
    <t>flameRetardant; phenol</t>
  </si>
  <si>
    <t>1278</t>
  </si>
  <si>
    <t>4-bromophenol</t>
  </si>
  <si>
    <t>106-41-2</t>
  </si>
  <si>
    <t>1279</t>
  </si>
  <si>
    <t>2,3-dibromophenol</t>
  </si>
  <si>
    <t>57383-80-9</t>
  </si>
  <si>
    <t>1280</t>
  </si>
  <si>
    <t>2,4-dibromophenol</t>
  </si>
  <si>
    <t>615-58-7</t>
  </si>
  <si>
    <t>1281</t>
  </si>
  <si>
    <t>2,5-dibromophenol</t>
  </si>
  <si>
    <t>28165-52-8</t>
  </si>
  <si>
    <t>1282</t>
  </si>
  <si>
    <t>2,6-dibromophenol</t>
  </si>
  <si>
    <t>608-33-3</t>
  </si>
  <si>
    <t>1283</t>
  </si>
  <si>
    <t>3,5-dibromophenol</t>
  </si>
  <si>
    <t>626-41-5</t>
  </si>
  <si>
    <t>1284</t>
  </si>
  <si>
    <t>2,3,4-tribromophenol</t>
  </si>
  <si>
    <t>138507-65-0</t>
  </si>
  <si>
    <t>1285</t>
  </si>
  <si>
    <t>2-bromoanisole</t>
  </si>
  <si>
    <t>578-57-4</t>
  </si>
  <si>
    <t>1286</t>
  </si>
  <si>
    <t>3-bromoanisole</t>
  </si>
  <si>
    <t>2398-37-0</t>
  </si>
  <si>
    <t>1287</t>
  </si>
  <si>
    <t>4-bromoanisole</t>
  </si>
  <si>
    <t>104-92-7</t>
  </si>
  <si>
    <t>1288</t>
  </si>
  <si>
    <t>2,3-dibromoanisole</t>
  </si>
  <si>
    <t>95970-22-2</t>
  </si>
  <si>
    <t>1289</t>
  </si>
  <si>
    <t>2,4-dibromoanisole</t>
  </si>
  <si>
    <t>21702-84-1</t>
  </si>
  <si>
    <t>1290</t>
  </si>
  <si>
    <t>2,5-dibromoanisole</t>
  </si>
  <si>
    <t>95970-08-4</t>
  </si>
  <si>
    <t>1291</t>
  </si>
  <si>
    <t>2,6-dibromoanisole</t>
  </si>
  <si>
    <t>38603-09-7</t>
  </si>
  <si>
    <t>1292</t>
  </si>
  <si>
    <t>3,5-dibromoanisole</t>
  </si>
  <si>
    <t>74137-36-3</t>
  </si>
  <si>
    <t>1293</t>
  </si>
  <si>
    <t>2,4,5-tribromoanisole</t>
  </si>
  <si>
    <t>NOCAS_0014</t>
  </si>
  <si>
    <t>1294</t>
  </si>
  <si>
    <t>pentabromoethylbenzene</t>
  </si>
  <si>
    <t>85-22-3</t>
  </si>
  <si>
    <t>1295</t>
  </si>
  <si>
    <t>2,4,6-tribromophenyl allyl ether</t>
  </si>
  <si>
    <t>3278-89-5</t>
  </si>
  <si>
    <t>1296</t>
  </si>
  <si>
    <t>pentabromotoluene</t>
  </si>
  <si>
    <t>87-83-2</t>
  </si>
  <si>
    <t>1297</t>
  </si>
  <si>
    <t>3-bromostyrene</t>
  </si>
  <si>
    <t>2039-86-3</t>
  </si>
  <si>
    <t>1298</t>
  </si>
  <si>
    <t>tribromoneopentyl alcohol</t>
  </si>
  <si>
    <t>1522-92-5</t>
  </si>
  <si>
    <t>1299</t>
  </si>
  <si>
    <t>4-bromostyrene</t>
  </si>
  <si>
    <t>2039-82-9</t>
  </si>
  <si>
    <t>1300</t>
  </si>
  <si>
    <t>tetrabromo-o-chlorotoluene</t>
  </si>
  <si>
    <t>39569-21-6</t>
  </si>
  <si>
    <t>1301</t>
  </si>
  <si>
    <t>1,2-dibromo-4-[1,2-dibromoethyl]cyclohexane</t>
  </si>
  <si>
    <t>3322-93-8</t>
  </si>
  <si>
    <t>1302</t>
  </si>
  <si>
    <t>[2,3-dibromopropyl] [2,4,6-tribromophenyl] ether</t>
  </si>
  <si>
    <t>35109-60-5</t>
  </si>
  <si>
    <t>1303</t>
  </si>
  <si>
    <t>2'-hydroxy-4-monobromodiphenyl ether</t>
  </si>
  <si>
    <t>NOCAS_0015</t>
  </si>
  <si>
    <t>1304</t>
  </si>
  <si>
    <t>2'-hydroxy-2,4,4'-tribromodiphenyl ether</t>
  </si>
  <si>
    <t>NOCAS_0016</t>
  </si>
  <si>
    <t>1305</t>
  </si>
  <si>
    <t>2'-methoxy-2,4,4'-tribromodiphenyl ether</t>
  </si>
  <si>
    <t>NOCAS_0017</t>
  </si>
  <si>
    <t>1306</t>
  </si>
  <si>
    <t>3-methoxy-2,2',4,4',6-pentabromodiphenyl ether</t>
  </si>
  <si>
    <t>NOCAS_0018</t>
  </si>
  <si>
    <t>4-chlorophenol</t>
  </si>
  <si>
    <t>106-48-9</t>
  </si>
  <si>
    <t>1308</t>
  </si>
  <si>
    <t>4-chloroguaiacol</t>
  </si>
  <si>
    <t>16766-30-6</t>
  </si>
  <si>
    <t>industrial; pulpAndPaper</t>
  </si>
  <si>
    <t>1309</t>
  </si>
  <si>
    <t>3,4-dichloroguaiacol</t>
  </si>
  <si>
    <t>77102-94-4</t>
  </si>
  <si>
    <t>1310</t>
  </si>
  <si>
    <t>4,5-dichloroguaiacol</t>
  </si>
  <si>
    <t>2460-49-3</t>
  </si>
  <si>
    <t>1311</t>
  </si>
  <si>
    <t>4,6-dichloroguaiacol</t>
  </si>
  <si>
    <t>16766-31-7</t>
  </si>
  <si>
    <t>3,4,6-trichloroguaiacol</t>
  </si>
  <si>
    <t>60712-44-9</t>
  </si>
  <si>
    <t>1313</t>
  </si>
  <si>
    <t>tetrachloroguaiacol</t>
  </si>
  <si>
    <t>2539-17-5</t>
  </si>
  <si>
    <t>1314</t>
  </si>
  <si>
    <t>5-chlorovanillin</t>
  </si>
  <si>
    <t>19463-48-0</t>
  </si>
  <si>
    <t>6-chlorovanillin</t>
  </si>
  <si>
    <t>18268-76-3</t>
  </si>
  <si>
    <t>5,6-dichlorovanillin</t>
  </si>
  <si>
    <t>18268-69-4</t>
  </si>
  <si>
    <t>1317</t>
  </si>
  <si>
    <t>2-chlorosyringaldehyde</t>
  </si>
  <si>
    <t>76341-69-0</t>
  </si>
  <si>
    <t>2,6-dichlorosyringaldehyde</t>
  </si>
  <si>
    <t>76330-06-8</t>
  </si>
  <si>
    <t>1319</t>
  </si>
  <si>
    <t>trichlorosyringol</t>
  </si>
  <si>
    <t>2539-26-6</t>
  </si>
  <si>
    <t>1320</t>
  </si>
  <si>
    <t>4-chlorocatechol</t>
  </si>
  <si>
    <t>2138-22-9</t>
  </si>
  <si>
    <t>3,4-dichlorocatechol</t>
  </si>
  <si>
    <t>3978-67-4</t>
  </si>
  <si>
    <t>zinc diethyldithiocarbamate</t>
  </si>
  <si>
    <t>14324-55-1</t>
  </si>
  <si>
    <t>nickel dibutyldithiocarbamate</t>
  </si>
  <si>
    <t>13927-77-0</t>
  </si>
  <si>
    <t>1324</t>
  </si>
  <si>
    <t>pbde  4</t>
  </si>
  <si>
    <t>51452-87-0</t>
  </si>
  <si>
    <t>1325</t>
  </si>
  <si>
    <t>pbde  6</t>
  </si>
  <si>
    <t>147217-72-9</t>
  </si>
  <si>
    <t>1326</t>
  </si>
  <si>
    <t>pbde  9</t>
  </si>
  <si>
    <t>337513-66-3</t>
  </si>
  <si>
    <t>1327</t>
  </si>
  <si>
    <t>pbde  19</t>
  </si>
  <si>
    <t>147217-73-0</t>
  </si>
  <si>
    <t>1328</t>
  </si>
  <si>
    <t>pbde  21</t>
  </si>
  <si>
    <t>337513-67-4</t>
  </si>
  <si>
    <t>1329</t>
  </si>
  <si>
    <t>pbde  26</t>
  </si>
  <si>
    <t>337513-75-4</t>
  </si>
  <si>
    <t>1330</t>
  </si>
  <si>
    <t>pbde  27</t>
  </si>
  <si>
    <t>337513-53-8</t>
  </si>
  <si>
    <t>1331</t>
  </si>
  <si>
    <t>pbde  31</t>
  </si>
  <si>
    <t>65075-08-3</t>
  </si>
  <si>
    <t>1332</t>
  </si>
  <si>
    <t>pbde  50</t>
  </si>
  <si>
    <t>446254-23-5</t>
  </si>
  <si>
    <t>1333</t>
  </si>
  <si>
    <t>pbde  51</t>
  </si>
  <si>
    <t>189084-57-9</t>
  </si>
  <si>
    <t>1334</t>
  </si>
  <si>
    <t>pbde  62</t>
  </si>
  <si>
    <t>446254-33-7</t>
  </si>
  <si>
    <t>1335</t>
  </si>
  <si>
    <t>pbde  69</t>
  </si>
  <si>
    <t>327185-09-1</t>
  </si>
  <si>
    <t>1336</t>
  </si>
  <si>
    <t>pbde  88</t>
  </si>
  <si>
    <t>446254-55-3</t>
  </si>
  <si>
    <t>1337</t>
  </si>
  <si>
    <t>pbde  89</t>
  </si>
  <si>
    <t>NOCAS_0019</t>
  </si>
  <si>
    <t>1338</t>
  </si>
  <si>
    <t>pbde  103</t>
  </si>
  <si>
    <t>446254-67-7</t>
  </si>
  <si>
    <t>1339</t>
  </si>
  <si>
    <t>pbde  108</t>
  </si>
  <si>
    <t>446254-71-3</t>
  </si>
  <si>
    <t>1340</t>
  </si>
  <si>
    <t>pbde  115</t>
  </si>
  <si>
    <t>446254-78-0</t>
  </si>
  <si>
    <t>1341</t>
  </si>
  <si>
    <t>pbde  127</t>
  </si>
  <si>
    <t>NOCAS_0020</t>
  </si>
  <si>
    <t>1342</t>
  </si>
  <si>
    <t>pbde  128</t>
  </si>
  <si>
    <t>NOCAS_0021</t>
  </si>
  <si>
    <t>1343</t>
  </si>
  <si>
    <t>pbde  142</t>
  </si>
  <si>
    <t>NOCAS_0022</t>
  </si>
  <si>
    <t>1344</t>
  </si>
  <si>
    <t>pbde  144</t>
  </si>
  <si>
    <t>NOCAS_0023</t>
  </si>
  <si>
    <t>1345</t>
  </si>
  <si>
    <t>pbde  160</t>
  </si>
  <si>
    <t>NOCAS_0024</t>
  </si>
  <si>
    <t>1346</t>
  </si>
  <si>
    <t>pbde  185</t>
  </si>
  <si>
    <t>NOCAS_0025</t>
  </si>
  <si>
    <t>1347</t>
  </si>
  <si>
    <t>pbde  201</t>
  </si>
  <si>
    <t>NOCAS_0026</t>
  </si>
  <si>
    <t>1348</t>
  </si>
  <si>
    <t>1-chlorodibenzo-p-dioxin</t>
  </si>
  <si>
    <t>39227-53-7</t>
  </si>
  <si>
    <t>1349</t>
  </si>
  <si>
    <t>2-chlorodibenzo-p-dioxin</t>
  </si>
  <si>
    <t>39227-54-8</t>
  </si>
  <si>
    <t>1350</t>
  </si>
  <si>
    <t>1,2-dichlorodibenzo-p-dioxin</t>
  </si>
  <si>
    <t>54536-18-4</t>
  </si>
  <si>
    <t>1351</t>
  </si>
  <si>
    <t>2,3-dichlorodibenzo-p-dioxin</t>
  </si>
  <si>
    <t>29446-15-9</t>
  </si>
  <si>
    <t>1352</t>
  </si>
  <si>
    <t>2,8-dichlorodibenzo-p-dioxin</t>
  </si>
  <si>
    <t>38964-22-6</t>
  </si>
  <si>
    <t>1353</t>
  </si>
  <si>
    <t>1,2,3,4,6,7,8-heptachlorodibenzo-p-dioxin</t>
  </si>
  <si>
    <t>35822-46-9</t>
  </si>
  <si>
    <t>1354</t>
  </si>
  <si>
    <t>1,2,3,4,6,7,9-heptachlorodibenzo-p-dioxin</t>
  </si>
  <si>
    <t>58200-70-7</t>
  </si>
  <si>
    <t>1,2,3,4,6,7-hexachlorodibenzo-p-dioxin</t>
  </si>
  <si>
    <t>58200-66-1</t>
  </si>
  <si>
    <t>1,2,3,4,7,8-hexachlorodibenzo-p-dioxin</t>
  </si>
  <si>
    <t>39227-28-6</t>
  </si>
  <si>
    <t>1357</t>
  </si>
  <si>
    <t>1,2,3,7,8,9-hexachlorodibenzo-p-dioxin</t>
  </si>
  <si>
    <t>19408-74-3</t>
  </si>
  <si>
    <t>1358</t>
  </si>
  <si>
    <t>1,2,3,4,6,7,8,9-octachlorodibenzo-p-dioxin</t>
  </si>
  <si>
    <t>3268-87-9</t>
  </si>
  <si>
    <t>1,2,3,4,7-pentachlorodibenzo-p-dioxin</t>
  </si>
  <si>
    <t>39227-61-7</t>
  </si>
  <si>
    <t>1,2,3,7,8-pentachlorodibenzo-p-dioxin</t>
  </si>
  <si>
    <t>40321-76-4</t>
  </si>
  <si>
    <t>1,2,3-trichlorodibenzo-p-dioxin</t>
  </si>
  <si>
    <t>54536-17-3</t>
  </si>
  <si>
    <t>1362</t>
  </si>
  <si>
    <t>1,2,4-trichlorodibenzo-p-dioxin</t>
  </si>
  <si>
    <t>39227-58-2</t>
  </si>
  <si>
    <t>1,7,8-trichlorodibenzo-p-dioxin</t>
  </si>
  <si>
    <t>82306-65-8</t>
  </si>
  <si>
    <t>2,3,7-trichlorodibenzo-p-dioxin</t>
  </si>
  <si>
    <t>33857-28-2</t>
  </si>
  <si>
    <t>1365</t>
  </si>
  <si>
    <t>1,2,3,4-tetrachlorodibenzo-p-dioxin</t>
  </si>
  <si>
    <t>30746-58-8</t>
  </si>
  <si>
    <t>1366</t>
  </si>
  <si>
    <t>1,2,7,8-tetrachlorodibenzo-p-dioxin</t>
  </si>
  <si>
    <t>34816-53-0</t>
  </si>
  <si>
    <t>1,3,7,8-tetrachlorodibenzo-p-dioxin</t>
  </si>
  <si>
    <t>50585-46-1</t>
  </si>
  <si>
    <t>1368</t>
  </si>
  <si>
    <t>1,3,6,8-tetrachlorodibenzo-p-dioxin</t>
  </si>
  <si>
    <t>33423-92-6</t>
  </si>
  <si>
    <t>1,2,8,9-tetrachlorodibenzo-p-dioxin</t>
  </si>
  <si>
    <t>116889-69-1</t>
  </si>
  <si>
    <t>1,3,7,9-tetrachlorodibenzo-p-dioxin</t>
  </si>
  <si>
    <t>116889-70-4</t>
  </si>
  <si>
    <t>1,2,6,8-tetrachlorodibenzo-p-dioxin</t>
  </si>
  <si>
    <t>67323-56-2</t>
  </si>
  <si>
    <t>1372</t>
  </si>
  <si>
    <t>2-chlorodibenzofuran</t>
  </si>
  <si>
    <t>51230-49-0</t>
  </si>
  <si>
    <t>1373</t>
  </si>
  <si>
    <t>4-chlorodibenzofuran</t>
  </si>
  <si>
    <t>74992-96-4</t>
  </si>
  <si>
    <t>1374</t>
  </si>
  <si>
    <t>2,8-dichlorodibenzofuran</t>
  </si>
  <si>
    <t>5409-83-6</t>
  </si>
  <si>
    <t>1375</t>
  </si>
  <si>
    <t>1,2,3,4,6,7,8-heptachlorodibenzofuran</t>
  </si>
  <si>
    <t>38998-75-3</t>
  </si>
  <si>
    <t>1376</t>
  </si>
  <si>
    <t>1,2,3,4,7,8-hexachlorodibenzofuran</t>
  </si>
  <si>
    <t>55684-94-1</t>
  </si>
  <si>
    <t>1377</t>
  </si>
  <si>
    <t>1,2,3,7,8-pentachlorodibenzofuran</t>
  </si>
  <si>
    <t>57117-41-6</t>
  </si>
  <si>
    <t>1378</t>
  </si>
  <si>
    <t>1,2,3,4-tetrachlorodibenzofuran</t>
  </si>
  <si>
    <t>24478-72-6</t>
  </si>
  <si>
    <t>1379</t>
  </si>
  <si>
    <t>1,3,6,8-tetrachlorodibenzofuran</t>
  </si>
  <si>
    <t>30402-14-3</t>
  </si>
  <si>
    <t>1380</t>
  </si>
  <si>
    <t>2,4,8-trichlorodibenzofuran</t>
  </si>
  <si>
    <t>54589-71-8</t>
  </si>
  <si>
    <t>2-chlorophenyl-4-nitrophenyl ether</t>
  </si>
  <si>
    <t>2303-23-3</t>
  </si>
  <si>
    <t>industrial; industrial; haloEthers; haloEthers</t>
  </si>
  <si>
    <t>1382</t>
  </si>
  <si>
    <t>2,5-dichlorophenyl-4-nitrophenyl ether</t>
  </si>
  <si>
    <t>39145-48-7</t>
  </si>
  <si>
    <t>1383</t>
  </si>
  <si>
    <t>1,3-dichlorodibenzo-p-dioxin</t>
  </si>
  <si>
    <t>50585-39-2</t>
  </si>
  <si>
    <t>1,2,3,6,7,8-hexachlorodibenzo-p-dioxin</t>
  </si>
  <si>
    <t>57653-85-7</t>
  </si>
  <si>
    <t>1385</t>
  </si>
  <si>
    <t>dibenzo-p-dioxin</t>
  </si>
  <si>
    <t>262-12-4</t>
  </si>
  <si>
    <t>1386</t>
  </si>
  <si>
    <t>1,4-dichlorodibenzo-p-dioxin</t>
  </si>
  <si>
    <t>54536-19-5</t>
  </si>
  <si>
    <t>1387</t>
  </si>
  <si>
    <t>1,6-dichlorodibenzo-p-dioxin</t>
  </si>
  <si>
    <t>38178-38-0</t>
  </si>
  <si>
    <t>1388</t>
  </si>
  <si>
    <t>2,7-dichlorodibenzo-p-dioxin</t>
  </si>
  <si>
    <t>33857-26-0</t>
  </si>
  <si>
    <t>1389</t>
  </si>
  <si>
    <t>1,4-dioxino[2,3,b,5,6,b']dipyridine</t>
  </si>
  <si>
    <t>262-16-8</t>
  </si>
  <si>
    <t>1390</t>
  </si>
  <si>
    <t>1,2,4,6,7,9/1,2,4,6,8,9-hexachlorodibenzo-p-dioxin</t>
  </si>
  <si>
    <t>NOCAS_0027</t>
  </si>
  <si>
    <t>1391</t>
  </si>
  <si>
    <t>1,2,3,8,9-pentachlorodibenzo-p-dioxin</t>
  </si>
  <si>
    <t>71925-18-3</t>
  </si>
  <si>
    <t>1392</t>
  </si>
  <si>
    <t>1,2,4,7,8-pentachlorodibenzo-p-dioxin</t>
  </si>
  <si>
    <t>58802-08-7</t>
  </si>
  <si>
    <t>1393</t>
  </si>
  <si>
    <t>1,2,4,6,8/1,2,4,7,9-pentachlorodibenzo-p-dioxin</t>
  </si>
  <si>
    <t>71998-76-0</t>
  </si>
  <si>
    <t>1394</t>
  </si>
  <si>
    <t>2,3,7,8-tetrabromodibenzo-p-dioxin</t>
  </si>
  <si>
    <t>50585-41-6</t>
  </si>
  <si>
    <t>1395</t>
  </si>
  <si>
    <t>1,2,6,7-tetrachlorodibenzo-p-dioxin</t>
  </si>
  <si>
    <t>41903-57-5</t>
  </si>
  <si>
    <t>1396</t>
  </si>
  <si>
    <t>1,2,3,4,6,7,8,9-octachlorodibenzofuran</t>
  </si>
  <si>
    <t>39001-02-0</t>
  </si>
  <si>
    <t>1397</t>
  </si>
  <si>
    <t>3-chlorophenyl-4-nitrophenyl ether</t>
  </si>
  <si>
    <t>1398</t>
  </si>
  <si>
    <t>4-chlorophenyl-4-nitrophenyl ether</t>
  </si>
  <si>
    <t>1836-74-4</t>
  </si>
  <si>
    <t>1399</t>
  </si>
  <si>
    <t>2,3-dichlorophenyl-4-nitrophenyl ether</t>
  </si>
  <si>
    <t>82239-20-1</t>
  </si>
  <si>
    <t>1400</t>
  </si>
  <si>
    <t>2,4-dibromophenyl-4-nitrophenyl ether</t>
  </si>
  <si>
    <t>2671-93-4</t>
  </si>
  <si>
    <t>1401</t>
  </si>
  <si>
    <t>2,6-dichlorophenyl-4-nitrophenyl ether</t>
  </si>
  <si>
    <t>2093-28-9</t>
  </si>
  <si>
    <t>1402</t>
  </si>
  <si>
    <t>3,4-dichlorophenyl-4-nitrophenyl ether</t>
  </si>
  <si>
    <t>22532-80-5</t>
  </si>
  <si>
    <t>1403</t>
  </si>
  <si>
    <t>3,5-dichlorophenyl-4-nitrophenyl ether</t>
  </si>
  <si>
    <t>21105-77-1</t>
  </si>
  <si>
    <t>1404</t>
  </si>
  <si>
    <t>4-nitrophenyl phenyl ether</t>
  </si>
  <si>
    <t>620-88-2</t>
  </si>
  <si>
    <t>1405</t>
  </si>
  <si>
    <t>2,3,4-trichlorophenyl-4-nitrophenyl ether</t>
  </si>
  <si>
    <t>142022-61-5</t>
  </si>
  <si>
    <t>1406</t>
  </si>
  <si>
    <t>2,3,5-trichlorophenyl-4-nitrophenyl ether</t>
  </si>
  <si>
    <t>142022-59-1</t>
  </si>
  <si>
    <t>1407</t>
  </si>
  <si>
    <t>2,3,6-trichlorophenyl-4-nitrophenyl ether</t>
  </si>
  <si>
    <t>142022-58-0</t>
  </si>
  <si>
    <t>1408</t>
  </si>
  <si>
    <t>2,4,5-trichlorophenyl-4-nitrophenyl ether</t>
  </si>
  <si>
    <t>22532-68-9</t>
  </si>
  <si>
    <t>1409</t>
  </si>
  <si>
    <t>3,4,5-trichlorophenyl-4-nitrophenyl ether</t>
  </si>
  <si>
    <t>NOCAS_0028</t>
  </si>
  <si>
    <t>1410</t>
  </si>
  <si>
    <t>tetrabromophthalate diol</t>
  </si>
  <si>
    <t>20566-35-2</t>
  </si>
  <si>
    <t>1411</t>
  </si>
  <si>
    <t>galaxolide</t>
  </si>
  <si>
    <t>1222-05-5</t>
  </si>
  <si>
    <t>Personal Care</t>
  </si>
  <si>
    <t>1412</t>
  </si>
  <si>
    <t>ethylene brassylate</t>
  </si>
  <si>
    <t>105-95-3</t>
  </si>
  <si>
    <t>1413</t>
  </si>
  <si>
    <t>linalool</t>
  </si>
  <si>
    <t>78-70-6</t>
  </si>
  <si>
    <t>pestInsecticide; personalCare</t>
  </si>
  <si>
    <t>1414</t>
  </si>
  <si>
    <t>b-citronellol</t>
  </si>
  <si>
    <t>106-22-9</t>
  </si>
  <si>
    <t>TX001035</t>
  </si>
  <si>
    <t>1415</t>
  </si>
  <si>
    <t>methyleugenol</t>
  </si>
  <si>
    <t>93-15-2</t>
  </si>
  <si>
    <t>personalCare; natural</t>
  </si>
  <si>
    <t>TX002379</t>
  </si>
  <si>
    <t>2159</t>
  </si>
  <si>
    <t>1416</t>
  </si>
  <si>
    <t>coumarin</t>
  </si>
  <si>
    <t>91-64-5</t>
  </si>
  <si>
    <t>C12693; TX002233</t>
  </si>
  <si>
    <t>1455</t>
  </si>
  <si>
    <t>1417</t>
  </si>
  <si>
    <t>farnesol i</t>
  </si>
  <si>
    <t>4602-84-0</t>
  </si>
  <si>
    <t>personalCare; personalCare; personalCare; personalCare; natural; natural; natural; natural; consumerProduct; consumerProduct; consumerProduct; consumerProduct</t>
  </si>
  <si>
    <t>1418</t>
  </si>
  <si>
    <t>citral a</t>
  </si>
  <si>
    <t>5392-40-5</t>
  </si>
  <si>
    <t>personalCare; personalCare; natural; natural; consumerProduct; consumerProduct</t>
  </si>
  <si>
    <t>TX002747</t>
  </si>
  <si>
    <t>1419</t>
  </si>
  <si>
    <t>anisyl alcohol</t>
  </si>
  <si>
    <t>105-13-5</t>
  </si>
  <si>
    <t>1420</t>
  </si>
  <si>
    <t>isoeugenol</t>
  </si>
  <si>
    <t>97-54-1</t>
  </si>
  <si>
    <t>TX008780</t>
  </si>
  <si>
    <t>1981</t>
  </si>
  <si>
    <t>1421</t>
  </si>
  <si>
    <t>benzyl cinnamate</t>
  </si>
  <si>
    <t>103-41-3</t>
  </si>
  <si>
    <t>1422</t>
  </si>
  <si>
    <t>amyl cinnamal</t>
  </si>
  <si>
    <t>122-40-7</t>
  </si>
  <si>
    <t>1423</t>
  </si>
  <si>
    <t>b-ionone</t>
  </si>
  <si>
    <t>79-77-6</t>
  </si>
  <si>
    <t>1424</t>
  </si>
  <si>
    <t>a-ionone</t>
  </si>
  <si>
    <t>127-41-3</t>
  </si>
  <si>
    <t>1425</t>
  </si>
  <si>
    <t>geraniol</t>
  </si>
  <si>
    <t>106-24-1</t>
  </si>
  <si>
    <t>TX003395</t>
  </si>
  <si>
    <t>1900</t>
  </si>
  <si>
    <t>1426</t>
  </si>
  <si>
    <t>amylcinnamyl alcohol</t>
  </si>
  <si>
    <t>101-85-9</t>
  </si>
  <si>
    <t>1427</t>
  </si>
  <si>
    <t>benzyl salicylate</t>
  </si>
  <si>
    <t>118-58-1</t>
  </si>
  <si>
    <t>1428</t>
  </si>
  <si>
    <t>hydroxy-citronellal</t>
  </si>
  <si>
    <t>107-75-5</t>
  </si>
  <si>
    <t>1429</t>
  </si>
  <si>
    <t>cinnamal</t>
  </si>
  <si>
    <t>104-55-2</t>
  </si>
  <si>
    <t>pestFungicide; personalCare; industrial; natural; consumerProduct</t>
  </si>
  <si>
    <t>1430</t>
  </si>
  <si>
    <t>cinnamyl alcohol</t>
  </si>
  <si>
    <t>104-54-1</t>
  </si>
  <si>
    <t>1431</t>
  </si>
  <si>
    <t>lilial</t>
  </si>
  <si>
    <t>80-54-6</t>
  </si>
  <si>
    <t>1432</t>
  </si>
  <si>
    <t>lyral</t>
  </si>
  <si>
    <t>31906-04-4</t>
  </si>
  <si>
    <t>1433</t>
  </si>
  <si>
    <t>methyl 2-octynoate</t>
  </si>
  <si>
    <t>111-12-6</t>
  </si>
  <si>
    <t>personalCare; consumerProduct</t>
  </si>
  <si>
    <t>1434</t>
  </si>
  <si>
    <t>n-phenyl-2-naphthylamine</t>
  </si>
  <si>
    <t>135-88-6</t>
  </si>
  <si>
    <t>1435</t>
  </si>
  <si>
    <t>n-phenyl-1-naphthylamine</t>
  </si>
  <si>
    <t>90-30-2</t>
  </si>
  <si>
    <t>1436</t>
  </si>
  <si>
    <t>drometrizole</t>
  </si>
  <si>
    <t>2440-22-4</t>
  </si>
  <si>
    <t>industrial; consumerProduct</t>
  </si>
  <si>
    <t>1437</t>
  </si>
  <si>
    <t>butylated hydroxytoluene</t>
  </si>
  <si>
    <t>128-37-0</t>
  </si>
  <si>
    <t>3385</t>
  </si>
  <si>
    <t>1438</t>
  </si>
  <si>
    <t>2,4-dinitroaniline</t>
  </si>
  <si>
    <t>97-02-9</t>
  </si>
  <si>
    <t>1439</t>
  </si>
  <si>
    <t>2-chloroaniline</t>
  </si>
  <si>
    <t>95-51-2</t>
  </si>
  <si>
    <t>1440</t>
  </si>
  <si>
    <t>4,4'-methylenedianiline</t>
  </si>
  <si>
    <t>101-77-9</t>
  </si>
  <si>
    <t>industrial; consumerProduct; aniline</t>
  </si>
  <si>
    <t>TX003485</t>
  </si>
  <si>
    <t>1441</t>
  </si>
  <si>
    <t>2-chloro-4-nitroaniline</t>
  </si>
  <si>
    <t>121-87-9</t>
  </si>
  <si>
    <t>1442</t>
  </si>
  <si>
    <t>4-chloro-2-nitroaniline</t>
  </si>
  <si>
    <t>89-63-4</t>
  </si>
  <si>
    <t>1443</t>
  </si>
  <si>
    <t>2-chloro-4,6-dinitroaniline</t>
  </si>
  <si>
    <t>3531-19-9</t>
  </si>
  <si>
    <t>1444</t>
  </si>
  <si>
    <t>2,6-dibromo-4-nitroaniline</t>
  </si>
  <si>
    <t>827-94-1</t>
  </si>
  <si>
    <t>1445</t>
  </si>
  <si>
    <t>2-bromo-4,6-dinitroaniline</t>
  </si>
  <si>
    <t>1817-73-8</t>
  </si>
  <si>
    <t>1446</t>
  </si>
  <si>
    <t>bisphenol z</t>
  </si>
  <si>
    <t>843-55-0</t>
  </si>
  <si>
    <t>NTP-4001204798-A1</t>
  </si>
  <si>
    <t>NTP BPA Analogue</t>
  </si>
  <si>
    <t>1447</t>
  </si>
  <si>
    <t>bisphenol e</t>
  </si>
  <si>
    <t>2081-08-5</t>
  </si>
  <si>
    <t>NTP-4001204798-A7</t>
  </si>
  <si>
    <t>1448</t>
  </si>
  <si>
    <t>bisphenol b</t>
  </si>
  <si>
    <t>77-40-7</t>
  </si>
  <si>
    <t>NTP-4001204798-B1; TX005859</t>
  </si>
  <si>
    <t>bisphenolâ af</t>
  </si>
  <si>
    <t>1478-61-1</t>
  </si>
  <si>
    <t>NTP-4001204798-F3; NTP-4001204798-A2; NTP DNT 91-C12; TX004108</t>
  </si>
  <si>
    <t>Bioprinter; Bioprinter; Bioprinter; Liquid Handler</t>
  </si>
  <si>
    <t>NTP BPA Analogue; NTP BPA Analogue; NTP DNT Project; ToxCast Ph 1 and 2</t>
  </si>
  <si>
    <t>1450</t>
  </si>
  <si>
    <t>4-hydroxybiphenyl</t>
  </si>
  <si>
    <t>92-69-3</t>
  </si>
  <si>
    <t>1451</t>
  </si>
  <si>
    <t>2-bromophenol</t>
  </si>
  <si>
    <t>95-56-7</t>
  </si>
  <si>
    <t>1452</t>
  </si>
  <si>
    <t>4-hydroxy-3-chlorobiphenyl</t>
  </si>
  <si>
    <t>92-04-6</t>
  </si>
  <si>
    <t>1453</t>
  </si>
  <si>
    <t>3,4,5-trichlorophenol</t>
  </si>
  <si>
    <t>609-19-8</t>
  </si>
  <si>
    <t>3-chlorophenol</t>
  </si>
  <si>
    <t>108-43-0</t>
  </si>
  <si>
    <t>pharmacological; industrial; pulpAndPaper; phenol</t>
  </si>
  <si>
    <t>3-nitrophenol</t>
  </si>
  <si>
    <t>554-84-7</t>
  </si>
  <si>
    <t>1456</t>
  </si>
  <si>
    <t>3-hydroxybiphenyl</t>
  </si>
  <si>
    <t>580-51-8</t>
  </si>
  <si>
    <t>1457</t>
  </si>
  <si>
    <t>4-chloro-2-methylphenol</t>
  </si>
  <si>
    <t>1570-64-5</t>
  </si>
  <si>
    <t>1458</t>
  </si>
  <si>
    <t>4-ethoxyphenol</t>
  </si>
  <si>
    <t>622-62-8</t>
  </si>
  <si>
    <t>1459</t>
  </si>
  <si>
    <t>4-n-octylphenol</t>
  </si>
  <si>
    <t>1806-26-4</t>
  </si>
  <si>
    <t>TX003444</t>
  </si>
  <si>
    <t>1461</t>
  </si>
  <si>
    <t>benzotriazole</t>
  </si>
  <si>
    <t>95-14-7</t>
  </si>
  <si>
    <t>TX002271</t>
  </si>
  <si>
    <t>1462</t>
  </si>
  <si>
    <t>2,4-dichloroaniline</t>
  </si>
  <si>
    <t>554-00-7</t>
  </si>
  <si>
    <t>1463</t>
  </si>
  <si>
    <t>2,5-dichloroaniline</t>
  </si>
  <si>
    <t>95-82-9</t>
  </si>
  <si>
    <t>1464</t>
  </si>
  <si>
    <t>2,3-dimethylaniline</t>
  </si>
  <si>
    <t>87-59-2</t>
  </si>
  <si>
    <t>1465</t>
  </si>
  <si>
    <t>2,5-dimethylaniline</t>
  </si>
  <si>
    <t>95-78-3</t>
  </si>
  <si>
    <t>1466</t>
  </si>
  <si>
    <t>2,6-diethylaniline</t>
  </si>
  <si>
    <t>579-66-8</t>
  </si>
  <si>
    <t>TX001650</t>
  </si>
  <si>
    <t>1467</t>
  </si>
  <si>
    <t>2,6-diisopropylaniline</t>
  </si>
  <si>
    <t>24544-04-5</t>
  </si>
  <si>
    <t>1468</t>
  </si>
  <si>
    <t>2-ethylaniline</t>
  </si>
  <si>
    <t>578-54-1</t>
  </si>
  <si>
    <t>1469</t>
  </si>
  <si>
    <t>2-isopropylaniline</t>
  </si>
  <si>
    <t>643-28-7</t>
  </si>
  <si>
    <t>1470</t>
  </si>
  <si>
    <t>2,3,5-trimethylphenol</t>
  </si>
  <si>
    <t>697-82-5</t>
  </si>
  <si>
    <t>1471</t>
  </si>
  <si>
    <t>2,5-dichlorophenol</t>
  </si>
  <si>
    <t>583-78-8</t>
  </si>
  <si>
    <t>1472</t>
  </si>
  <si>
    <t>2,6-ditertbutyl-4-methoxyphenol</t>
  </si>
  <si>
    <t>489-01-0</t>
  </si>
  <si>
    <t>1473</t>
  </si>
  <si>
    <t>2,6-dimethoxyphenol</t>
  </si>
  <si>
    <t>91-10-1</t>
  </si>
  <si>
    <t>1474</t>
  </si>
  <si>
    <t>2-[1-methylbutyl]phenol</t>
  </si>
  <si>
    <t>87-26-3</t>
  </si>
  <si>
    <t>1475</t>
  </si>
  <si>
    <t>propenyl guaethol</t>
  </si>
  <si>
    <t>94-86-0</t>
  </si>
  <si>
    <t>personalCare; consumerProduct; phenol</t>
  </si>
  <si>
    <t>1476</t>
  </si>
  <si>
    <t>2-ethylphenol</t>
  </si>
  <si>
    <t>90-00-6</t>
  </si>
  <si>
    <t>1477</t>
  </si>
  <si>
    <t>2-propylphenol</t>
  </si>
  <si>
    <t>644-35-9</t>
  </si>
  <si>
    <t>1478</t>
  </si>
  <si>
    <t>3-[dimethylamino]phenol</t>
  </si>
  <si>
    <t>99-07-0</t>
  </si>
  <si>
    <t>1479</t>
  </si>
  <si>
    <t>3,5-dimethylphenol</t>
  </si>
  <si>
    <t>108-68-9</t>
  </si>
  <si>
    <t>1480</t>
  </si>
  <si>
    <t>3-ethylphenol</t>
  </si>
  <si>
    <t>620-17-7</t>
  </si>
  <si>
    <t>1481</t>
  </si>
  <si>
    <t>3-methoxyphenol</t>
  </si>
  <si>
    <t>150-19-6</t>
  </si>
  <si>
    <t>pharmacological; industrial; natural; phenol</t>
  </si>
  <si>
    <t>1482</t>
  </si>
  <si>
    <t>3-tert-butylphenol</t>
  </si>
  <si>
    <t>585-34-2</t>
  </si>
  <si>
    <t>1483</t>
  </si>
  <si>
    <t>4-amino-2,6-dichlorophenol</t>
  </si>
  <si>
    <t>5930-28-9</t>
  </si>
  <si>
    <t>1484</t>
  </si>
  <si>
    <t>4-butylphenol</t>
  </si>
  <si>
    <t>1638-22-8</t>
  </si>
  <si>
    <t>1485</t>
  </si>
  <si>
    <t>4-isopropylphenol</t>
  </si>
  <si>
    <t>99-89-8</t>
  </si>
  <si>
    <t>1486</t>
  </si>
  <si>
    <t>2,4,6-trichloroaniline</t>
  </si>
  <si>
    <t>634-93-5</t>
  </si>
  <si>
    <t>pestGeneral; industrial; consumerProduct; aniline</t>
  </si>
  <si>
    <t>1487</t>
  </si>
  <si>
    <t>3,4-dimethylaniline</t>
  </si>
  <si>
    <t>95-64-7</t>
  </si>
  <si>
    <t>1488</t>
  </si>
  <si>
    <t>3,5-dimethylaniline</t>
  </si>
  <si>
    <t>108-69-0</t>
  </si>
  <si>
    <t>1489</t>
  </si>
  <si>
    <t>m-toluidine</t>
  </si>
  <si>
    <t>108-44-1</t>
  </si>
  <si>
    <t>TX009643</t>
  </si>
  <si>
    <t>1490</t>
  </si>
  <si>
    <t>p-toluidine</t>
  </si>
  <si>
    <t>106-49-0</t>
  </si>
  <si>
    <t>TX004405</t>
  </si>
  <si>
    <t>1491</t>
  </si>
  <si>
    <t>2,4-dichloro-3,5-dimethylphenol</t>
  </si>
  <si>
    <t>133-53-9</t>
  </si>
  <si>
    <t>1492</t>
  </si>
  <si>
    <t>2,3-xylenol</t>
  </si>
  <si>
    <t>526-75-0</t>
  </si>
  <si>
    <t>1493</t>
  </si>
  <si>
    <t>2,4,6-triiodophenol</t>
  </si>
  <si>
    <t>609-23-4</t>
  </si>
  <si>
    <t>1494</t>
  </si>
  <si>
    <t>2,4-bis[alpha,alpha-dimethylbenzyl]phenol</t>
  </si>
  <si>
    <t>2772-45-4</t>
  </si>
  <si>
    <t>TX009216</t>
  </si>
  <si>
    <t>1495</t>
  </si>
  <si>
    <t>2,4-di-tert-amylphenol</t>
  </si>
  <si>
    <t>120-95-6</t>
  </si>
  <si>
    <t>TX002641</t>
  </si>
  <si>
    <t>1496</t>
  </si>
  <si>
    <t>2,4-di-tert-butylphenol</t>
  </si>
  <si>
    <t>96-76-4</t>
  </si>
  <si>
    <t>TX003117</t>
  </si>
  <si>
    <t>1497</t>
  </si>
  <si>
    <t>2,6-di-tert-butyl-4-dimethylaminomethylphenol</t>
  </si>
  <si>
    <t>88-27-7</t>
  </si>
  <si>
    <t>1498</t>
  </si>
  <si>
    <t>2,6-di-tert-butyl-4-ethylphenol</t>
  </si>
  <si>
    <t>4130-42-1</t>
  </si>
  <si>
    <t>1499</t>
  </si>
  <si>
    <t>2,6-di-tert-butylphenol</t>
  </si>
  <si>
    <t>128-39-2</t>
  </si>
  <si>
    <t>TX002669</t>
  </si>
  <si>
    <t>1500</t>
  </si>
  <si>
    <t>2-sec-butylphenol</t>
  </si>
  <si>
    <t>89-72-5</t>
  </si>
  <si>
    <t>TX002098</t>
  </si>
  <si>
    <t>1501</t>
  </si>
  <si>
    <t>2-amino-4-chlorophenol</t>
  </si>
  <si>
    <t>95-85-2</t>
  </si>
  <si>
    <t>1502</t>
  </si>
  <si>
    <t>2-amino-p-cresol</t>
  </si>
  <si>
    <t>95-84-1</t>
  </si>
  <si>
    <t>1503</t>
  </si>
  <si>
    <t>2-aminophenol</t>
  </si>
  <si>
    <t>95-55-6</t>
  </si>
  <si>
    <t>1504</t>
  </si>
  <si>
    <t>6-chloro-m-cresol</t>
  </si>
  <si>
    <t>615-74-7</t>
  </si>
  <si>
    <t>1505</t>
  </si>
  <si>
    <t>2-ethoxyphenol</t>
  </si>
  <si>
    <t>94-71-3</t>
  </si>
  <si>
    <t>1506</t>
  </si>
  <si>
    <t>2-isopropylphenol</t>
  </si>
  <si>
    <t>88-69-7</t>
  </si>
  <si>
    <t>1507</t>
  </si>
  <si>
    <t>2-methoxy-4-methylphenol</t>
  </si>
  <si>
    <t>93-51-6</t>
  </si>
  <si>
    <t>natural; consumerProduct; phenol</t>
  </si>
  <si>
    <t>1508</t>
  </si>
  <si>
    <t>guaiacol</t>
  </si>
  <si>
    <t>90-05-1</t>
  </si>
  <si>
    <t>industrial; natural; phenol</t>
  </si>
  <si>
    <t>1509</t>
  </si>
  <si>
    <t>3,4-dimethylphenol</t>
  </si>
  <si>
    <t>95-65-8</t>
  </si>
  <si>
    <t>TX005193</t>
  </si>
  <si>
    <t>1510</t>
  </si>
  <si>
    <t>n,n-diethyl-3-aminophenol</t>
  </si>
  <si>
    <t>91-68-9</t>
  </si>
  <si>
    <t>1511</t>
  </si>
  <si>
    <t>4-aminophenol</t>
  </si>
  <si>
    <t>123-30-8</t>
  </si>
  <si>
    <t>1512</t>
  </si>
  <si>
    <t>4-benzylphenol</t>
  </si>
  <si>
    <t>101-53-1</t>
  </si>
  <si>
    <t>1513</t>
  </si>
  <si>
    <t>4-chloro-3,5-dimethylphenol</t>
  </si>
  <si>
    <t>88-04-0</t>
  </si>
  <si>
    <t>1514</t>
  </si>
  <si>
    <t>4-alpha-cumylphenol</t>
  </si>
  <si>
    <t>599-64-4</t>
  </si>
  <si>
    <t>NTP-4001204798-E1; TX002221</t>
  </si>
  <si>
    <t>1515</t>
  </si>
  <si>
    <t>4-ethylphenol</t>
  </si>
  <si>
    <t>123-07-9</t>
  </si>
  <si>
    <t>personalCare; industrial; consumerProduct; phenol</t>
  </si>
  <si>
    <t>1516</t>
  </si>
  <si>
    <t>4-methoxyphenol</t>
  </si>
  <si>
    <t>150-76-5</t>
  </si>
  <si>
    <t>pharmacological; industrial; phenol</t>
  </si>
  <si>
    <t>1517</t>
  </si>
  <si>
    <t>2-nitro-p-cresol</t>
  </si>
  <si>
    <t>119-33-5</t>
  </si>
  <si>
    <t>1518</t>
  </si>
  <si>
    <t>4-tert-butylphenol</t>
  </si>
  <si>
    <t>98-54-4</t>
  </si>
  <si>
    <t>TX002917</t>
  </si>
  <si>
    <t>1519</t>
  </si>
  <si>
    <t>4-[2-benzothiazolyldithio]morpholine</t>
  </si>
  <si>
    <t>95-32-9</t>
  </si>
  <si>
    <t>1520</t>
  </si>
  <si>
    <t>n-cyclohexyl-2-benzothiazolylsulfenamide</t>
  </si>
  <si>
    <t>95-33-0</t>
  </si>
  <si>
    <t>1521</t>
  </si>
  <si>
    <t>2-[morpholinothio]benzothiazole</t>
  </si>
  <si>
    <t>102-77-2</t>
  </si>
  <si>
    <t>1522</t>
  </si>
  <si>
    <t>benzothiazole</t>
  </si>
  <si>
    <t>95-16-9</t>
  </si>
  <si>
    <t>1523</t>
  </si>
  <si>
    <t>2-mercaptobenzothiazole</t>
  </si>
  <si>
    <t>149-30-4</t>
  </si>
  <si>
    <t>TX003844</t>
  </si>
  <si>
    <t>1524</t>
  </si>
  <si>
    <t>2-[4-chlorophenyl]benzothiazole</t>
  </si>
  <si>
    <t>6265-91-4</t>
  </si>
  <si>
    <t>1525</t>
  </si>
  <si>
    <t>2-benzothiazolyl sulfide</t>
  </si>
  <si>
    <t>4074-77-5</t>
  </si>
  <si>
    <t>1526</t>
  </si>
  <si>
    <t>citral b</t>
  </si>
  <si>
    <t>1527</t>
  </si>
  <si>
    <t>farnesol ii</t>
  </si>
  <si>
    <t>1528</t>
  </si>
  <si>
    <t>farnesol iii</t>
  </si>
  <si>
    <t>1529</t>
  </si>
  <si>
    <t>farnesol iv</t>
  </si>
  <si>
    <t>1530</t>
  </si>
  <si>
    <t>phosphamidon ii</t>
  </si>
  <si>
    <t xml:space="preserve">BU data </t>
  </si>
  <si>
    <t xml:space="preserve">all chemicals are reported in pg/ul unless noted otherwise </t>
  </si>
  <si>
    <r>
      <t xml:space="preserve">PAH_Mix_C26650_C26650_2509 </t>
    </r>
    <r>
      <rPr>
        <b/>
        <sz val="11"/>
        <rFont val="Calibri"/>
        <family val="2"/>
        <scheme val="minor"/>
      </rPr>
      <t>(ug/mL)</t>
    </r>
  </si>
  <si>
    <r>
      <t xml:space="preserve">Supermix_10_[50x]_C93545_C93545_2915 </t>
    </r>
    <r>
      <rPr>
        <b/>
        <sz val="11"/>
        <rFont val="Calibri"/>
        <family val="2"/>
        <scheme val="minor"/>
      </rPr>
      <t>(ug/mL)</t>
    </r>
  </si>
  <si>
    <r>
      <t xml:space="preserve">Supermix_10_[50x]_C18372_C18372_2917 </t>
    </r>
    <r>
      <rPr>
        <b/>
        <sz val="11"/>
        <rFont val="Calibri"/>
        <family val="2"/>
        <scheme val="minor"/>
      </rPr>
      <t>(ug/mL)</t>
    </r>
  </si>
  <si>
    <r>
      <t xml:space="preserve">Supermix_3_C82136_C82136_2921 </t>
    </r>
    <r>
      <rPr>
        <b/>
        <sz val="10"/>
        <rFont val="Calibri"/>
        <family val="2"/>
        <scheme val="minor"/>
      </rPr>
      <t>(ug/ml)</t>
    </r>
  </si>
  <si>
    <r>
      <t xml:space="preserve">Supermix_3_C34463_C34463_2918 </t>
    </r>
    <r>
      <rPr>
        <b/>
        <sz val="10"/>
        <rFont val="Calibri"/>
        <family val="2"/>
        <scheme val="minor"/>
      </rPr>
      <t>(ug/mL)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</si>
</sst>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0.0"/>
    <numFmt numFmtId="166" formatCode="0.0E+00"/>
    <numFmt numFmtId="167" formatCode="0E+00"/>
  </numFmts>
  <fonts count="16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Calibri"/>
      <family val="2"/>
      <scheme val="minor"/>
    </font>
    <font>
      <sz val="10"/>
      <name val="Calibri Light"/>
      <family val="2"/>
      <scheme val="maj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b/>
      <sz val="10"/>
      <name val="Calibri"/>
      <family val="2"/>
      <scheme val="minor"/>
    </font>
    <font>
      <sz val="11"/>
      <color theme="0" tint="-0.14999847407452621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30A0"/>
        <bgColor rgb="FFFFFFFF"/>
      </patternFill>
    </fill>
    <fill>
      <patternFill patternType="solid">
        <fgColor rgb="FF7030A0"/>
        <bgColor indexed="64"/>
      </patternFill>
    </fill>
    <fill>
      <patternFill patternType="solid">
        <fgColor theme="4" tint="0.79998168889431442"/>
        <bgColor rgb="FFFFFFFF"/>
      </patternFill>
    </fill>
    <fill>
      <patternFill patternType="solid">
        <fgColor rgb="FF92D050"/>
        <bgColor rgb="FFFFFFFF"/>
      </patternFill>
    </fill>
    <fill>
      <patternFill patternType="solid">
        <fgColor rgb="FFFF66FF"/>
        <bgColor rgb="FFFFFFFF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/>
    <xf numFmtId="0" fontId="3" fillId="0" borderId="0"/>
    <xf numFmtId="43" fontId="8" fillId="0" borderId="0" applyFont="0" applyFill="0" applyBorder="0" applyAlignment="0" applyProtection="0"/>
    <xf numFmtId="0" fontId="7" fillId="0" borderId="0"/>
  </cellStyleXfs>
  <cellXfs count="152">
    <xf numFmtId="0" fontId="0" fillId="0" borderId="0" xfId="0"/>
    <xf numFmtId="49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49" fontId="6" fillId="0" borderId="0" xfId="0" applyNumberFormat="1" applyFont="1"/>
    <xf numFmtId="0" fontId="6" fillId="0" borderId="0" xfId="0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6" fillId="0" borderId="0" xfId="0" applyFont="1"/>
    <xf numFmtId="0" fontId="6" fillId="0" borderId="0" xfId="1" applyFont="1" applyAlignment="1" applyProtection="1">
      <alignment horizontal="left" vertical="center"/>
      <protection locked="0"/>
    </xf>
    <xf numFmtId="0" fontId="6" fillId="0" borderId="0" xfId="0" applyFont="1" applyAlignment="1">
      <alignment vertical="center"/>
    </xf>
    <xf numFmtId="0" fontId="5" fillId="0" borderId="0" xfId="0" applyFont="1"/>
    <xf numFmtId="2" fontId="5" fillId="0" borderId="0" xfId="0" applyNumberFormat="1" applyFont="1"/>
    <xf numFmtId="2" fontId="1" fillId="0" borderId="0" xfId="0" applyNumberFormat="1" applyFont="1"/>
    <xf numFmtId="0" fontId="4" fillId="0" borderId="0" xfId="1" applyFont="1" applyAlignment="1" applyProtection="1">
      <alignment horizontal="right" vertical="center"/>
      <protection locked="0"/>
    </xf>
    <xf numFmtId="0" fontId="4" fillId="0" borderId="0" xfId="0" applyFont="1" applyAlignment="1" applyProtection="1">
      <alignment horizontal="right" vertical="center"/>
      <protection locked="0"/>
    </xf>
    <xf numFmtId="0" fontId="6" fillId="0" borderId="0" xfId="0" applyFont="1" applyAlignment="1">
      <alignment vertical="center" wrapText="1"/>
    </xf>
    <xf numFmtId="0" fontId="1" fillId="0" borderId="0" xfId="0" applyFont="1" applyAlignment="1" applyProtection="1">
      <alignment horizontal="right" vertical="center"/>
      <protection locked="0"/>
    </xf>
    <xf numFmtId="0" fontId="1" fillId="0" borderId="0" xfId="1" applyFont="1" applyAlignment="1" applyProtection="1">
      <alignment horizontal="right" vertical="center"/>
      <protection locked="0"/>
    </xf>
    <xf numFmtId="0" fontId="6" fillId="0" borderId="0" xfId="0" applyFont="1" applyAlignment="1">
      <alignment horizontal="left" readingOrder="1"/>
    </xf>
    <xf numFmtId="2" fontId="1" fillId="0" borderId="0" xfId="0" applyNumberFormat="1" applyFont="1" applyAlignment="1">
      <alignment vertical="center"/>
    </xf>
    <xf numFmtId="0" fontId="1" fillId="0" borderId="0" xfId="0" applyFont="1" applyAlignment="1" applyProtection="1">
      <alignment horizontal="left" vertical="top" wrapText="1" readingOrder="1"/>
      <protection locked="0"/>
    </xf>
    <xf numFmtId="0" fontId="6" fillId="0" borderId="0" xfId="0" applyFont="1" applyAlignment="1">
      <alignment vertical="top" wrapText="1" readingOrder="1"/>
    </xf>
    <xf numFmtId="1" fontId="1" fillId="0" borderId="0" xfId="0" applyNumberFormat="1" applyFont="1" applyAlignment="1">
      <alignment vertical="center"/>
    </xf>
    <xf numFmtId="0" fontId="6" fillId="0" borderId="0" xfId="0" applyFont="1" applyAlignment="1">
      <alignment vertical="top" readingOrder="1"/>
    </xf>
    <xf numFmtId="0" fontId="11" fillId="0" borderId="2" xfId="0" applyFont="1" applyBorder="1" applyAlignment="1">
      <alignment horizontal="center" wrapText="1"/>
    </xf>
    <xf numFmtId="0" fontId="11" fillId="4" borderId="2" xfId="0" applyFont="1" applyFill="1" applyBorder="1" applyAlignment="1">
      <alignment horizontal="center" wrapText="1"/>
    </xf>
    <xf numFmtId="0" fontId="12" fillId="5" borderId="2" xfId="0" applyFont="1" applyFill="1" applyBorder="1" applyAlignment="1">
      <alignment horizontal="center" wrapText="1"/>
    </xf>
    <xf numFmtId="0" fontId="6" fillId="7" borderId="0" xfId="0" applyFont="1" applyFill="1"/>
    <xf numFmtId="0" fontId="6" fillId="7" borderId="0" xfId="0" applyFont="1" applyFill="1" applyAlignment="1">
      <alignment horizontal="left"/>
    </xf>
    <xf numFmtId="49" fontId="6" fillId="7" borderId="0" xfId="0" applyNumberFormat="1" applyFont="1" applyFill="1"/>
    <xf numFmtId="0" fontId="6" fillId="7" borderId="0" xfId="0" applyFont="1" applyFill="1" applyAlignment="1">
      <alignment horizontal="left" readingOrder="1"/>
    </xf>
    <xf numFmtId="0" fontId="6" fillId="7" borderId="0" xfId="0" applyFont="1" applyFill="1" applyAlignment="1">
      <alignment vertical="center" wrapText="1"/>
    </xf>
    <xf numFmtId="0" fontId="6" fillId="7" borderId="0" xfId="0" applyFont="1" applyFill="1" applyAlignment="1" applyProtection="1">
      <alignment horizontal="left" vertical="center"/>
      <protection locked="0"/>
    </xf>
    <xf numFmtId="0" fontId="5" fillId="7" borderId="0" xfId="0" applyFont="1" applyFill="1"/>
    <xf numFmtId="2" fontId="5" fillId="7" borderId="0" xfId="0" applyNumberFormat="1" applyFont="1" applyFill="1"/>
    <xf numFmtId="2" fontId="1" fillId="7" borderId="0" xfId="0" applyNumberFormat="1" applyFont="1" applyFill="1"/>
    <xf numFmtId="2" fontId="1" fillId="7" borderId="0" xfId="0" applyNumberFormat="1" applyFont="1" applyFill="1" applyAlignment="1">
      <alignment vertical="center"/>
    </xf>
    <xf numFmtId="0" fontId="1" fillId="7" borderId="0" xfId="0" applyFont="1" applyFill="1" applyAlignment="1" applyProtection="1">
      <alignment horizontal="left" vertical="top" wrapText="1" readingOrder="1"/>
      <protection locked="0"/>
    </xf>
    <xf numFmtId="0" fontId="1" fillId="7" borderId="0" xfId="0" applyFont="1" applyFill="1" applyAlignment="1">
      <alignment vertical="center"/>
    </xf>
    <xf numFmtId="0" fontId="1" fillId="7" borderId="0" xfId="0" applyFont="1" applyFill="1" applyAlignment="1" applyProtection="1">
      <alignment horizontal="right" vertical="center"/>
      <protection locked="0"/>
    </xf>
    <xf numFmtId="0" fontId="0" fillId="7" borderId="0" xfId="0" applyFill="1"/>
    <xf numFmtId="0" fontId="6" fillId="7" borderId="0" xfId="0" applyFont="1" applyFill="1" applyAlignment="1">
      <alignment vertical="top" wrapText="1" readingOrder="1"/>
    </xf>
    <xf numFmtId="0" fontId="11" fillId="0" borderId="3" xfId="1" applyFont="1" applyBorder="1" applyAlignment="1">
      <alignment horizontal="center" wrapText="1"/>
    </xf>
    <xf numFmtId="0" fontId="12" fillId="0" borderId="3" xfId="1" applyFont="1" applyBorder="1" applyAlignment="1">
      <alignment horizontal="center"/>
    </xf>
    <xf numFmtId="0" fontId="11" fillId="0" borderId="3" xfId="1" applyFont="1" applyBorder="1" applyAlignment="1">
      <alignment horizontal="center"/>
    </xf>
    <xf numFmtId="0" fontId="11" fillId="0" borderId="4" xfId="3" applyFont="1" applyBorder="1" applyAlignment="1">
      <alignment horizontal="center" wrapText="1"/>
    </xf>
    <xf numFmtId="0" fontId="11" fillId="0" borderId="3" xfId="3" applyFont="1" applyBorder="1" applyAlignment="1">
      <alignment horizontal="center" wrapText="1"/>
    </xf>
    <xf numFmtId="0" fontId="9" fillId="0" borderId="0" xfId="3" applyFont="1"/>
    <xf numFmtId="0" fontId="9" fillId="0" borderId="0" xfId="3" applyFont="1" applyAlignment="1">
      <alignment wrapText="1"/>
    </xf>
    <xf numFmtId="0" fontId="11" fillId="0" borderId="5" xfId="3" applyFont="1" applyBorder="1" applyAlignment="1">
      <alignment horizontal="center" wrapText="1"/>
    </xf>
    <xf numFmtId="0" fontId="9" fillId="0" borderId="0" xfId="3" applyFont="1" applyAlignment="1">
      <alignment horizontal="center" wrapText="1"/>
    </xf>
    <xf numFmtId="0" fontId="11" fillId="0" borderId="0" xfId="3" applyFont="1" applyAlignment="1">
      <alignment horizontal="center" wrapText="1"/>
    </xf>
    <xf numFmtId="0" fontId="9" fillId="0" borderId="0" xfId="3" applyFont="1" applyAlignment="1">
      <alignment horizontal="center"/>
    </xf>
    <xf numFmtId="11" fontId="9" fillId="0" borderId="0" xfId="1" applyNumberFormat="1" applyFont="1" applyAlignment="1">
      <alignment horizontal="center" wrapText="1"/>
    </xf>
    <xf numFmtId="0" fontId="9" fillId="0" borderId="0" xfId="1" applyFont="1" applyAlignment="1">
      <alignment horizontal="center" wrapText="1"/>
    </xf>
    <xf numFmtId="0" fontId="9" fillId="0" borderId="0" xfId="1" applyFont="1" applyAlignment="1">
      <alignment horizontal="center"/>
    </xf>
    <xf numFmtId="11" fontId="3" fillId="0" borderId="0" xfId="1" applyNumberFormat="1" applyAlignment="1">
      <alignment horizontal="center"/>
    </xf>
    <xf numFmtId="11" fontId="9" fillId="7" borderId="0" xfId="1" applyNumberFormat="1" applyFont="1" applyFill="1" applyAlignment="1">
      <alignment horizontal="center" wrapText="1"/>
    </xf>
    <xf numFmtId="0" fontId="9" fillId="7" borderId="0" xfId="1" applyFont="1" applyFill="1" applyAlignment="1">
      <alignment horizontal="center" wrapText="1"/>
    </xf>
    <xf numFmtId="0" fontId="9" fillId="7" borderId="0" xfId="1" applyFont="1" applyFill="1" applyAlignment="1">
      <alignment horizontal="center"/>
    </xf>
    <xf numFmtId="11" fontId="3" fillId="7" borderId="0" xfId="1" applyNumberFormat="1" applyFill="1" applyAlignment="1">
      <alignment horizontal="center"/>
    </xf>
    <xf numFmtId="0" fontId="11" fillId="0" borderId="0" xfId="0" applyFont="1"/>
    <xf numFmtId="0" fontId="11" fillId="0" borderId="0" xfId="1" applyFont="1" applyAlignment="1">
      <alignment horizontal="center" wrapText="1"/>
    </xf>
    <xf numFmtId="0" fontId="12" fillId="0" borderId="0" xfId="1" applyFont="1" applyAlignment="1">
      <alignment horizontal="center"/>
    </xf>
    <xf numFmtId="0" fontId="11" fillId="0" borderId="0" xfId="1" applyFont="1" applyAlignment="1">
      <alignment horizontal="center"/>
    </xf>
    <xf numFmtId="165" fontId="0" fillId="0" borderId="0" xfId="0" applyNumberFormat="1" applyAlignment="1">
      <alignment horizontal="center"/>
    </xf>
    <xf numFmtId="164" fontId="6" fillId="0" borderId="0" xfId="2" applyNumberFormat="1" applyFont="1" applyBorder="1"/>
    <xf numFmtId="0" fontId="6" fillId="0" borderId="0" xfId="0" applyFont="1" applyAlignment="1">
      <alignment horizontal="center" vertical="center"/>
    </xf>
    <xf numFmtId="164" fontId="6" fillId="0" borderId="0" xfId="2" applyNumberFormat="1" applyFont="1" applyFill="1" applyBorder="1"/>
    <xf numFmtId="0" fontId="11" fillId="7" borderId="0" xfId="0" applyFont="1" applyFill="1"/>
    <xf numFmtId="165" fontId="0" fillId="7" borderId="0" xfId="0" applyNumberFormat="1" applyFill="1" applyAlignment="1">
      <alignment horizontal="center"/>
    </xf>
    <xf numFmtId="0" fontId="11" fillId="7" borderId="0" xfId="1" applyFont="1" applyFill="1" applyAlignment="1">
      <alignment horizontal="center" wrapText="1"/>
    </xf>
    <xf numFmtId="0" fontId="12" fillId="7" borderId="0" xfId="1" applyFont="1" applyFill="1" applyAlignment="1">
      <alignment horizontal="center"/>
    </xf>
    <xf numFmtId="0" fontId="11" fillId="7" borderId="0" xfId="1" applyFont="1" applyFill="1" applyAlignment="1">
      <alignment horizontal="center"/>
    </xf>
    <xf numFmtId="164" fontId="6" fillId="7" borderId="0" xfId="2" applyNumberFormat="1" applyFont="1" applyFill="1" applyBorder="1"/>
    <xf numFmtId="0" fontId="6" fillId="7" borderId="0" xfId="0" applyFont="1" applyFill="1" applyAlignment="1">
      <alignment horizontal="center" vertical="center"/>
    </xf>
    <xf numFmtId="1" fontId="6" fillId="0" borderId="0" xfId="2" applyNumberFormat="1" applyFont="1" applyFill="1" applyBorder="1"/>
    <xf numFmtId="164" fontId="0" fillId="0" borderId="0" xfId="2" applyNumberFormat="1" applyFont="1" applyFill="1" applyBorder="1"/>
    <xf numFmtId="0" fontId="0" fillId="0" borderId="0" xfId="0" applyAlignment="1">
      <alignment horizontal="center" vertical="center"/>
    </xf>
    <xf numFmtId="11" fontId="6" fillId="0" borderId="0" xfId="0" applyNumberFormat="1" applyFont="1"/>
    <xf numFmtId="2" fontId="0" fillId="7" borderId="0" xfId="0" applyNumberFormat="1" applyFill="1" applyAlignment="1">
      <alignment horizontal="center"/>
    </xf>
    <xf numFmtId="1" fontId="6" fillId="7" borderId="0" xfId="2" applyNumberFormat="1" applyFont="1" applyFill="1" applyBorder="1"/>
    <xf numFmtId="0" fontId="0" fillId="7" borderId="0" xfId="0" applyFill="1" applyAlignment="1">
      <alignment horizontal="center"/>
    </xf>
    <xf numFmtId="164" fontId="0" fillId="7" borderId="0" xfId="2" applyNumberFormat="1" applyFont="1" applyFill="1" applyBorder="1"/>
    <xf numFmtId="0" fontId="0" fillId="7" borderId="0" xfId="0" applyFill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2" applyNumberFormat="1" applyFont="1" applyBorder="1"/>
    <xf numFmtId="1" fontId="6" fillId="0" borderId="0" xfId="2" applyNumberFormat="1" applyFont="1" applyBorder="1"/>
    <xf numFmtId="0" fontId="2" fillId="0" borderId="0" xfId="1" applyFont="1" applyAlignment="1">
      <alignment horizontal="center"/>
    </xf>
    <xf numFmtId="0" fontId="3" fillId="7" borderId="0" xfId="1" applyFill="1" applyAlignment="1">
      <alignment horizontal="center"/>
    </xf>
    <xf numFmtId="0" fontId="6" fillId="0" borderId="0" xfId="0" applyFont="1" applyAlignment="1">
      <alignment horizontal="center"/>
    </xf>
    <xf numFmtId="165" fontId="6" fillId="0" borderId="0" xfId="0" applyNumberFormat="1" applyFont="1" applyAlignment="1">
      <alignment horizontal="center"/>
    </xf>
    <xf numFmtId="1" fontId="0" fillId="0" borderId="0" xfId="2" applyNumberFormat="1" applyFont="1" applyFill="1" applyBorder="1"/>
    <xf numFmtId="0" fontId="0" fillId="2" borderId="0" xfId="0" applyFill="1"/>
    <xf numFmtId="0" fontId="12" fillId="8" borderId="2" xfId="0" applyFont="1" applyFill="1" applyBorder="1" applyAlignment="1">
      <alignment horizontal="center" wrapText="1"/>
    </xf>
    <xf numFmtId="0" fontId="11" fillId="4" borderId="0" xfId="0" applyFont="1" applyFill="1" applyAlignment="1">
      <alignment horizontal="center" wrapText="1"/>
    </xf>
    <xf numFmtId="0" fontId="12" fillId="6" borderId="0" xfId="0" applyFont="1" applyFill="1" applyAlignment="1">
      <alignment wrapText="1"/>
    </xf>
    <xf numFmtId="0" fontId="12" fillId="5" borderId="0" xfId="0" applyFont="1" applyFill="1" applyAlignment="1">
      <alignment horizontal="center" wrapText="1"/>
    </xf>
    <xf numFmtId="0" fontId="12" fillId="8" borderId="0" xfId="0" applyFont="1" applyFill="1" applyAlignment="1">
      <alignment horizontal="center" wrapText="1"/>
    </xf>
    <xf numFmtId="0" fontId="5" fillId="12" borderId="0" xfId="0" applyFont="1" applyFill="1" applyAlignment="1">
      <alignment horizontal="left" wrapText="1"/>
    </xf>
    <xf numFmtId="0" fontId="1" fillId="13" borderId="0" xfId="0" applyFont="1" applyFill="1" applyAlignment="1">
      <alignment horizontal="left" vertical="center" wrapText="1"/>
    </xf>
    <xf numFmtId="0" fontId="1" fillId="14" borderId="0" xfId="0" applyFont="1" applyFill="1" applyAlignment="1">
      <alignment horizontal="left" vertical="center" wrapText="1"/>
    </xf>
    <xf numFmtId="0" fontId="1" fillId="10" borderId="0" xfId="0" applyFont="1" applyFill="1" applyAlignment="1" applyProtection="1">
      <alignment horizontal="left" vertical="top" wrapText="1" readingOrder="1"/>
      <protection locked="0"/>
    </xf>
    <xf numFmtId="0" fontId="1" fillId="15" borderId="0" xfId="0" applyFont="1" applyFill="1" applyAlignment="1" applyProtection="1">
      <alignment horizontal="left" vertical="top" wrapText="1" readingOrder="1"/>
      <protection locked="0"/>
    </xf>
    <xf numFmtId="0" fontId="6" fillId="11" borderId="0" xfId="0" applyFont="1" applyFill="1" applyAlignment="1">
      <alignment wrapText="1"/>
    </xf>
    <xf numFmtId="0" fontId="6" fillId="9" borderId="0" xfId="0" applyFont="1" applyFill="1" applyAlignment="1">
      <alignment wrapText="1"/>
    </xf>
    <xf numFmtId="0" fontId="6" fillId="16" borderId="0" xfId="0" applyFont="1" applyFill="1" applyAlignment="1">
      <alignment wrapText="1"/>
    </xf>
    <xf numFmtId="0" fontId="13" fillId="3" borderId="0" xfId="0" applyFont="1" applyFill="1" applyAlignment="1">
      <alignment vertical="top" wrapText="1" readingOrder="1"/>
    </xf>
    <xf numFmtId="0" fontId="6" fillId="18" borderId="0" xfId="0" applyFont="1" applyFill="1" applyAlignment="1">
      <alignment wrapText="1"/>
    </xf>
    <xf numFmtId="0" fontId="13" fillId="19" borderId="0" xfId="0" applyFont="1" applyFill="1" applyAlignment="1">
      <alignment vertical="top" wrapText="1" readingOrder="1"/>
    </xf>
    <xf numFmtId="0" fontId="13" fillId="20" borderId="0" xfId="0" applyFont="1" applyFill="1" applyAlignment="1">
      <alignment vertical="top" wrapText="1" readingOrder="1"/>
    </xf>
    <xf numFmtId="166" fontId="13" fillId="19" borderId="0" xfId="0" applyNumberFormat="1" applyFont="1" applyFill="1" applyAlignment="1">
      <alignment vertical="top" wrapText="1" readingOrder="1"/>
    </xf>
    <xf numFmtId="167" fontId="13" fillId="19" borderId="0" xfId="0" applyNumberFormat="1" applyFont="1" applyFill="1" applyAlignment="1">
      <alignment vertical="top" wrapText="1" readingOrder="1"/>
    </xf>
    <xf numFmtId="0" fontId="13" fillId="21" borderId="0" xfId="0" applyFont="1" applyFill="1" applyAlignment="1">
      <alignment vertical="top" wrapText="1" readingOrder="1"/>
    </xf>
    <xf numFmtId="11" fontId="13" fillId="19" borderId="0" xfId="0" applyNumberFormat="1" applyFont="1" applyFill="1" applyAlignment="1">
      <alignment vertical="top" wrapText="1" readingOrder="1"/>
    </xf>
    <xf numFmtId="166" fontId="13" fillId="3" borderId="0" xfId="0" applyNumberFormat="1" applyFont="1" applyFill="1" applyAlignment="1">
      <alignment vertical="top" wrapText="1" readingOrder="1"/>
    </xf>
    <xf numFmtId="0" fontId="12" fillId="0" borderId="3" xfId="3" applyFont="1" applyBorder="1" applyAlignment="1">
      <alignment horizontal="center" wrapText="1"/>
    </xf>
    <xf numFmtId="2" fontId="9" fillId="0" borderId="1" xfId="3" applyNumberFormat="1" applyFont="1" applyBorder="1" applyAlignment="1">
      <alignment horizontal="center" wrapText="1"/>
    </xf>
    <xf numFmtId="11" fontId="9" fillId="0" borderId="0" xfId="3" applyNumberFormat="1" applyFont="1" applyAlignment="1">
      <alignment horizontal="center" wrapText="1"/>
    </xf>
    <xf numFmtId="2" fontId="9" fillId="14" borderId="1" xfId="3" applyNumberFormat="1" applyFont="1" applyFill="1" applyBorder="1" applyAlignment="1">
      <alignment horizontal="center" wrapText="1"/>
    </xf>
    <xf numFmtId="0" fontId="0" fillId="0" borderId="2" xfId="0" applyBorder="1"/>
    <xf numFmtId="0" fontId="0" fillId="6" borderId="2" xfId="0" applyFill="1" applyBorder="1" applyAlignment="1">
      <alignment vertical="center" wrapText="1"/>
    </xf>
    <xf numFmtId="0" fontId="0" fillId="6" borderId="2" xfId="0" applyFill="1" applyBorder="1" applyAlignment="1">
      <alignment wrapText="1"/>
    </xf>
    <xf numFmtId="0" fontId="12" fillId="8" borderId="2" xfId="0" applyFont="1" applyFill="1" applyBorder="1"/>
    <xf numFmtId="0" fontId="12" fillId="8" borderId="2" xfId="0" applyFont="1" applyFill="1" applyBorder="1" applyAlignment="1">
      <alignment wrapText="1"/>
    </xf>
    <xf numFmtId="0" fontId="12" fillId="0" borderId="2" xfId="0" applyFont="1" applyBorder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2" fillId="0" borderId="0" xfId="0" applyFont="1"/>
    <xf numFmtId="0" fontId="1" fillId="13" borderId="2" xfId="0" applyFont="1" applyFill="1" applyBorder="1" applyAlignment="1">
      <alignment horizontal="center" vertical="center" wrapText="1"/>
    </xf>
    <xf numFmtId="0" fontId="1" fillId="14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center" vertical="center" wrapText="1"/>
    </xf>
    <xf numFmtId="0" fontId="12" fillId="8" borderId="2" xfId="0" applyFont="1" applyFill="1" applyBorder="1" applyAlignment="1">
      <alignment horizontal="center" vertical="center" wrapText="1"/>
    </xf>
    <xf numFmtId="0" fontId="11" fillId="8" borderId="2" xfId="1" applyFont="1" applyFill="1" applyBorder="1" applyAlignment="1">
      <alignment horizontal="center" vertical="center" wrapText="1"/>
    </xf>
    <xf numFmtId="0" fontId="12" fillId="8" borderId="2" xfId="1" applyFont="1" applyFill="1" applyBorder="1" applyAlignment="1">
      <alignment horizontal="center" vertical="center" wrapText="1"/>
    </xf>
    <xf numFmtId="49" fontId="10" fillId="0" borderId="2" xfId="0" applyNumberFormat="1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5" fillId="12" borderId="2" xfId="0" applyFont="1" applyFill="1" applyBorder="1" applyAlignment="1">
      <alignment horizontal="center" vertical="center" wrapText="1"/>
    </xf>
    <xf numFmtId="0" fontId="1" fillId="10" borderId="2" xfId="0" applyFont="1" applyFill="1" applyBorder="1" applyAlignment="1" applyProtection="1">
      <alignment horizontal="center" vertical="center" wrapText="1"/>
      <protection locked="0"/>
    </xf>
    <xf numFmtId="0" fontId="1" fillId="15" borderId="2" xfId="0" applyFont="1" applyFill="1" applyBorder="1" applyAlignment="1" applyProtection="1">
      <alignment horizontal="center" vertical="center" wrapText="1"/>
      <protection locked="0"/>
    </xf>
    <xf numFmtId="0" fontId="6" fillId="11" borderId="2" xfId="0" applyFont="1" applyFill="1" applyBorder="1" applyAlignment="1">
      <alignment horizontal="center" vertical="center" wrapText="1"/>
    </xf>
    <xf numFmtId="0" fontId="1" fillId="11" borderId="2" xfId="0" applyFont="1" applyFill="1" applyBorder="1" applyAlignment="1">
      <alignment horizontal="center" vertical="center" wrapText="1"/>
    </xf>
    <xf numFmtId="0" fontId="15" fillId="17" borderId="6" xfId="0" applyFont="1" applyFill="1" applyBorder="1" applyAlignment="1">
      <alignment horizontal="center" vertical="center" wrapText="1"/>
    </xf>
    <xf numFmtId="0" fontId="13" fillId="20" borderId="0" xfId="0" applyFont="1" applyFill="1" applyAlignment="1">
      <alignment horizontal="center" vertical="center" wrapText="1"/>
    </xf>
    <xf numFmtId="0" fontId="13" fillId="21" borderId="0" xfId="0" applyFont="1" applyFill="1" applyAlignment="1">
      <alignment horizontal="center" vertical="center" wrapText="1"/>
    </xf>
    <xf numFmtId="0" fontId="6" fillId="9" borderId="2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6" fillId="16" borderId="2" xfId="0" applyFont="1" applyFill="1" applyBorder="1" applyAlignment="1">
      <alignment horizontal="center" vertical="center" wrapText="1"/>
    </xf>
    <xf numFmtId="0" fontId="1" fillId="16" borderId="2" xfId="0" applyFont="1" applyFill="1" applyBorder="1" applyAlignment="1">
      <alignment horizontal="center" vertical="center" wrapText="1"/>
    </xf>
  </cellXfs>
  <cellStyles count="4">
    <cellStyle name="Comma" xfId="2" builtinId="3"/>
    <cellStyle name="Normal" xfId="0" builtinId="0"/>
    <cellStyle name="Normal 2" xfId="1" xr:uid="{00000000-0005-0000-0000-000002000000}"/>
    <cellStyle name="Normal 3" xfId="3" xr:uid="{00000000-0005-0000-0000-000003000000}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</dxf>
  </dxfs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riverab/AppData/Local/Microsoft/Windows/INetCache/Content.Outlook/1820BMT1/Copy%20of%20reduced_forest_fires_surrogate_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LOD removed with toxic units"/>
      <sheetName val="BLOD reduced list"/>
      <sheetName val="BLOD reduced list (scaled)"/>
    </sheetNames>
    <sheetDataSet>
      <sheetData sheetId="0"/>
      <sheetData sheetId="1">
        <row r="2">
          <cell r="B2">
            <v>1.4511976281501133E-6</v>
          </cell>
          <cell r="C2">
            <v>3.0000000000000001E-3</v>
          </cell>
          <cell r="D2">
            <v>0.02</v>
          </cell>
          <cell r="E2">
            <v>3.4E-5</v>
          </cell>
          <cell r="F2">
            <v>0.12</v>
          </cell>
          <cell r="G2">
            <v>0.12</v>
          </cell>
          <cell r="H2">
            <v>61</v>
          </cell>
          <cell r="I2">
            <v>3.4E-5</v>
          </cell>
        </row>
        <row r="3">
          <cell r="B3">
            <v>5.8080415045395601E-7</v>
          </cell>
          <cell r="C3">
            <v>6.3199999999999997E-4</v>
          </cell>
          <cell r="D3">
            <v>0.06</v>
          </cell>
          <cell r="E3">
            <v>0.308</v>
          </cell>
          <cell r="F3">
            <v>4.1100000000000003</v>
          </cell>
          <cell r="G3">
            <v>0.61599999999999999</v>
          </cell>
          <cell r="H3">
            <v>10000</v>
          </cell>
          <cell r="I3">
            <v>0.308</v>
          </cell>
        </row>
        <row r="4">
          <cell r="B4">
            <v>4.8707041142189249E-7</v>
          </cell>
          <cell r="C4">
            <v>8.5000000000000006E-3</v>
          </cell>
          <cell r="D4">
            <v>3.9199999999999999E-3</v>
          </cell>
          <cell r="E4">
            <v>0.13600000000000001</v>
          </cell>
          <cell r="F4">
            <v>2.2999999999999998</v>
          </cell>
          <cell r="G4">
            <v>0.28299999999999997</v>
          </cell>
          <cell r="H4">
            <v>10000</v>
          </cell>
          <cell r="I4">
            <v>0.13600000000000001</v>
          </cell>
        </row>
        <row r="5">
          <cell r="B5">
            <v>3.0917018284106897E-7</v>
          </cell>
          <cell r="C5">
            <v>1.8E-3</v>
          </cell>
          <cell r="D5">
            <v>7.0000000000000001E-3</v>
          </cell>
          <cell r="E5">
            <v>0.13100000000000001</v>
          </cell>
          <cell r="F5">
            <v>2.4</v>
          </cell>
          <cell r="G5">
            <v>2.9000000000000001E-2</v>
          </cell>
          <cell r="H5">
            <v>56.44</v>
          </cell>
          <cell r="I5">
            <v>0.13100000000000001</v>
          </cell>
        </row>
        <row r="6">
          <cell r="B6">
            <v>1.5166372884618853E-7</v>
          </cell>
          <cell r="C6">
            <v>4.2999999999999999E-4</v>
          </cell>
          <cell r="D6">
            <v>0.04</v>
          </cell>
          <cell r="E6">
            <v>0.42</v>
          </cell>
          <cell r="F6">
            <v>4.34</v>
          </cell>
          <cell r="G6">
            <v>0.73499999999999999</v>
          </cell>
          <cell r="H6">
            <v>10000</v>
          </cell>
          <cell r="I6">
            <v>0.42</v>
          </cell>
        </row>
        <row r="7">
          <cell r="B7">
            <v>1.0684861297969121E-7</v>
          </cell>
          <cell r="C7">
            <v>5.6499999999999998E-5</v>
          </cell>
          <cell r="D7">
            <v>0.3</v>
          </cell>
          <cell r="E7">
            <v>0.39100000000000001</v>
          </cell>
          <cell r="F7">
            <v>5.89</v>
          </cell>
          <cell r="G7">
            <v>0.82799999999999996</v>
          </cell>
          <cell r="H7">
            <v>382.12</v>
          </cell>
          <cell r="I7">
            <v>0.39100000000000001</v>
          </cell>
        </row>
        <row r="8">
          <cell r="B8">
            <v>7.9919205520956078E-8</v>
          </cell>
          <cell r="C8">
            <v>5.8699999999999996E-4</v>
          </cell>
          <cell r="D8">
            <v>1.23E-2</v>
          </cell>
          <cell r="E8">
            <v>0.20300000000000001</v>
          </cell>
          <cell r="F8">
            <v>2.27</v>
          </cell>
          <cell r="G8">
            <v>0.29399999999999998</v>
          </cell>
          <cell r="I8">
            <v>0.20300000000000001</v>
          </cell>
        </row>
        <row r="9">
          <cell r="B9">
            <v>2.8037383177570096E-8</v>
          </cell>
          <cell r="C9">
            <v>9.7000000000000005E-4</v>
          </cell>
          <cell r="D9">
            <v>8.2799999999999992E-3</v>
          </cell>
          <cell r="E9">
            <v>0.20599999999999999</v>
          </cell>
          <cell r="F9">
            <v>2.31</v>
          </cell>
          <cell r="G9">
            <v>0.59199999999999997</v>
          </cell>
          <cell r="H9">
            <v>505.44</v>
          </cell>
          <cell r="I9">
            <v>0.20599999999999999</v>
          </cell>
        </row>
        <row r="10">
          <cell r="B10">
            <v>2.5284854692100878E-8</v>
          </cell>
          <cell r="C10">
            <v>9.6000000000000002E-4</v>
          </cell>
          <cell r="D10">
            <v>8.4799999999999997E-3</v>
          </cell>
          <cell r="E10">
            <v>0.17299999999999999</v>
          </cell>
          <cell r="F10">
            <v>2</v>
          </cell>
          <cell r="G10">
            <v>0.46600000000000003</v>
          </cell>
          <cell r="H10">
            <v>54.375999999999998</v>
          </cell>
          <cell r="I10">
            <v>0.17299999999999999</v>
          </cell>
        </row>
        <row r="11">
          <cell r="B11">
            <v>1.8007937524004609E-8</v>
          </cell>
          <cell r="C11">
            <v>9.7400000000000004E-4</v>
          </cell>
          <cell r="D11">
            <v>8.2299999999999995E-3</v>
          </cell>
          <cell r="E11">
            <v>0.21099999999999999</v>
          </cell>
          <cell r="F11">
            <v>2.31</v>
          </cell>
          <cell r="G11">
            <v>0.56799999999999995</v>
          </cell>
          <cell r="H11">
            <v>10000</v>
          </cell>
          <cell r="I11">
            <v>0.21099999999999999</v>
          </cell>
        </row>
        <row r="12">
          <cell r="B12">
            <v>1.533734477019588E-8</v>
          </cell>
          <cell r="C12">
            <v>9.7099999999999997E-4</v>
          </cell>
          <cell r="D12">
            <v>8.2100000000000003E-3</v>
          </cell>
          <cell r="E12">
            <v>0.21</v>
          </cell>
          <cell r="F12">
            <v>2.2999999999999998</v>
          </cell>
          <cell r="G12">
            <v>0.57599999999999996</v>
          </cell>
          <cell r="H12">
            <v>10000</v>
          </cell>
          <cell r="I12">
            <v>0.21</v>
          </cell>
        </row>
        <row r="13">
          <cell r="B13">
            <v>3.3109128653986418E-9</v>
          </cell>
          <cell r="C13">
            <v>7.0400000000000004E-5</v>
          </cell>
          <cell r="D13">
            <v>4.3899999999999998E-3</v>
          </cell>
          <cell r="E13">
            <v>0.63700000000000001</v>
          </cell>
          <cell r="F13">
            <v>11.5</v>
          </cell>
          <cell r="G13">
            <v>2.2799999999999998</v>
          </cell>
          <cell r="I13">
            <v>0.63700000000000001</v>
          </cell>
        </row>
        <row r="14">
          <cell r="B14">
            <v>2.3618799522413982E-9</v>
          </cell>
          <cell r="C14">
            <v>0.04</v>
          </cell>
          <cell r="D14">
            <v>4.5400000000000003E-2</v>
          </cell>
          <cell r="E14">
            <v>1.61</v>
          </cell>
          <cell r="F14">
            <v>25.3</v>
          </cell>
          <cell r="G14">
            <v>15</v>
          </cell>
          <cell r="H14">
            <v>10000</v>
          </cell>
          <cell r="I14">
            <v>1.61</v>
          </cell>
        </row>
        <row r="15">
          <cell r="B15">
            <v>2.2254523880154259E-9</v>
          </cell>
          <cell r="C15">
            <v>2.22E-4</v>
          </cell>
          <cell r="D15">
            <v>0.01</v>
          </cell>
          <cell r="E15">
            <v>0.67700000000000005</v>
          </cell>
          <cell r="F15">
            <v>5.13</v>
          </cell>
          <cell r="G15">
            <v>1.06</v>
          </cell>
          <cell r="H15">
            <v>61.298000000000002</v>
          </cell>
          <cell r="I15">
            <v>0.67700000000000005</v>
          </cell>
        </row>
        <row r="16">
          <cell r="B16">
            <v>1.1029388816644995E-9</v>
          </cell>
          <cell r="C16">
            <v>0.03</v>
          </cell>
          <cell r="D16">
            <v>0.03</v>
          </cell>
          <cell r="E16">
            <v>1.59</v>
          </cell>
          <cell r="F16">
            <v>24.6</v>
          </cell>
          <cell r="G16">
            <v>13.5</v>
          </cell>
          <cell r="H16">
            <v>46.026000000000003</v>
          </cell>
          <cell r="I16">
            <v>1.59</v>
          </cell>
        </row>
        <row r="17">
          <cell r="B17">
            <v>9.4358467243510483E-10</v>
          </cell>
          <cell r="C17">
            <v>7.0199999999999999E-5</v>
          </cell>
          <cell r="D17">
            <v>3.2299999999999998E-3</v>
          </cell>
          <cell r="E17">
            <v>0.84499999999999997</v>
          </cell>
          <cell r="F17">
            <v>11.7</v>
          </cell>
          <cell r="G17">
            <v>3.14</v>
          </cell>
          <cell r="I17">
            <v>0.84499999999999997</v>
          </cell>
        </row>
        <row r="18">
          <cell r="B18">
            <v>3.1878120599155035E-10</v>
          </cell>
          <cell r="C18">
            <v>6.5599999999999995E-5</v>
          </cell>
          <cell r="D18">
            <v>4.4900000000000001E-3</v>
          </cell>
          <cell r="E18">
            <v>0.56100000000000005</v>
          </cell>
          <cell r="F18">
            <v>11.5</v>
          </cell>
          <cell r="G18">
            <v>1.99</v>
          </cell>
          <cell r="H18">
            <v>56.445999999999998</v>
          </cell>
          <cell r="I18">
            <v>0.56100000000000005</v>
          </cell>
        </row>
        <row r="19">
          <cell r="B19">
            <v>1.9712201852946973E-10</v>
          </cell>
          <cell r="C19">
            <v>6.5500000000000006E-5</v>
          </cell>
          <cell r="D19">
            <v>2.8E-3</v>
          </cell>
          <cell r="E19">
            <v>3.09</v>
          </cell>
          <cell r="F19">
            <v>29.7</v>
          </cell>
          <cell r="G19">
            <v>30.7</v>
          </cell>
          <cell r="H19">
            <v>10.19</v>
          </cell>
          <cell r="I19">
            <v>3.09</v>
          </cell>
        </row>
        <row r="20">
          <cell r="B20">
            <v>6.7212904877736511E-11</v>
          </cell>
          <cell r="C20">
            <v>6.9999999999999994E-5</v>
          </cell>
          <cell r="D20">
            <v>3.2699999999999999E-3</v>
          </cell>
          <cell r="E20">
            <v>1.22</v>
          </cell>
          <cell r="F20">
            <v>18.2</v>
          </cell>
          <cell r="G20">
            <v>6.28</v>
          </cell>
          <cell r="H20">
            <v>739.4</v>
          </cell>
          <cell r="I20">
            <v>1.22</v>
          </cell>
        </row>
        <row r="21">
          <cell r="B21">
            <v>3.2766490771272771E-11</v>
          </cell>
          <cell r="C21">
            <v>3.4600000000000001E-5</v>
          </cell>
          <cell r="D21">
            <v>2.3600000000000001E-3</v>
          </cell>
          <cell r="E21">
            <v>1.58</v>
          </cell>
          <cell r="F21">
            <v>26.7</v>
          </cell>
          <cell r="G21">
            <v>27.4</v>
          </cell>
          <cell r="I21">
            <v>1.58</v>
          </cell>
        </row>
        <row r="22">
          <cell r="B22">
            <v>1.2782099803756656E-11</v>
          </cell>
          <cell r="C22">
            <v>3.5800000000000003E-5</v>
          </cell>
          <cell r="D22">
            <v>2.5000000000000001E-3</v>
          </cell>
          <cell r="E22">
            <v>1.86</v>
          </cell>
          <cell r="F22">
            <v>21.4</v>
          </cell>
          <cell r="G22">
            <v>41.1</v>
          </cell>
          <cell r="H22">
            <v>58.59</v>
          </cell>
          <cell r="I22">
            <v>1.86</v>
          </cell>
        </row>
        <row r="23">
          <cell r="B23">
            <v>1.2728290176527447E-11</v>
          </cell>
          <cell r="C23">
            <v>3.2100000000000001E-5</v>
          </cell>
          <cell r="D23">
            <v>1.4E-3</v>
          </cell>
          <cell r="E23">
            <v>1.1E-4</v>
          </cell>
          <cell r="F23">
            <v>21</v>
          </cell>
          <cell r="G23">
            <v>21</v>
          </cell>
          <cell r="H23">
            <v>65.129000000000005</v>
          </cell>
          <cell r="I23">
            <v>1.22</v>
          </cell>
        </row>
        <row r="24">
          <cell r="B24">
            <v>1.0981251095146313E-11</v>
          </cell>
          <cell r="C24">
            <v>3.6100000000000003E-5</v>
          </cell>
          <cell r="D24">
            <v>2E-3</v>
          </cell>
          <cell r="E24">
            <v>1.45</v>
          </cell>
          <cell r="F24">
            <v>25.9</v>
          </cell>
          <cell r="G24">
            <v>25.4</v>
          </cell>
          <cell r="I24">
            <v>1.45</v>
          </cell>
        </row>
        <row r="25">
          <cell r="B25">
            <v>9.5533567597558709E-12</v>
          </cell>
          <cell r="C25">
            <v>3.2199999999999997E-5</v>
          </cell>
          <cell r="D25">
            <v>1.4E-3</v>
          </cell>
          <cell r="E25">
            <v>1.1E-5</v>
          </cell>
          <cell r="F25">
            <v>2</v>
          </cell>
          <cell r="G25">
            <v>2</v>
          </cell>
          <cell r="H25">
            <v>55.87</v>
          </cell>
          <cell r="I25">
            <v>1.1E-5</v>
          </cell>
        </row>
        <row r="26">
          <cell r="B26">
            <v>8.0405721716514941E-12</v>
          </cell>
          <cell r="C26">
            <v>5.1900000000000001E-5</v>
          </cell>
          <cell r="D26">
            <v>1.6999999999999999E-3</v>
          </cell>
          <cell r="E26">
            <v>1.2</v>
          </cell>
          <cell r="F26">
            <v>37.700000000000003</v>
          </cell>
          <cell r="G26">
            <v>27.5</v>
          </cell>
          <cell r="I26">
            <v>1.2</v>
          </cell>
        </row>
        <row r="27">
          <cell r="B27">
            <v>3.6103202067545667E-12</v>
          </cell>
          <cell r="C27">
            <v>3.4600000000000001E-5</v>
          </cell>
          <cell r="D27">
            <v>1.4E-3</v>
          </cell>
          <cell r="E27">
            <v>1.21</v>
          </cell>
          <cell r="F27">
            <v>34.200000000000003</v>
          </cell>
          <cell r="G27">
            <v>23.9</v>
          </cell>
          <cell r="H27">
            <v>10000</v>
          </cell>
          <cell r="I27">
            <v>1.21</v>
          </cell>
        </row>
        <row r="28">
          <cell r="B28">
            <v>1.3430043598890209E-12</v>
          </cell>
          <cell r="C28">
            <v>4.6999999999999997E-5</v>
          </cell>
          <cell r="D28">
            <v>1.5200000000000001E-3</v>
          </cell>
          <cell r="E28">
            <v>1.1E-4</v>
          </cell>
          <cell r="F28">
            <v>7.3</v>
          </cell>
          <cell r="G28">
            <v>7.3</v>
          </cell>
          <cell r="H28">
            <v>10000</v>
          </cell>
          <cell r="I28">
            <v>1.74</v>
          </cell>
        </row>
        <row r="29">
          <cell r="B29">
            <v>8.279825604439159E-13</v>
          </cell>
          <cell r="C29">
            <v>5.0599999999999997E-5</v>
          </cell>
          <cell r="D29">
            <v>1.4E-3</v>
          </cell>
          <cell r="E29">
            <v>1.1E-4</v>
          </cell>
          <cell r="F29">
            <v>6.1</v>
          </cell>
          <cell r="G29">
            <v>6.1</v>
          </cell>
          <cell r="H29">
            <v>13.72</v>
          </cell>
          <cell r="I29">
            <v>1.76</v>
          </cell>
        </row>
        <row r="30">
          <cell r="B30">
            <v>4.0006341656757833E-13</v>
          </cell>
          <cell r="C30">
            <v>5.0399999999999999E-5</v>
          </cell>
          <cell r="D30">
            <v>1.4599999999999999E-3</v>
          </cell>
          <cell r="E30">
            <v>1.93</v>
          </cell>
          <cell r="F30">
            <v>40.4</v>
          </cell>
          <cell r="G30">
            <v>25.2</v>
          </cell>
          <cell r="H30">
            <v>10000</v>
          </cell>
          <cell r="I30">
            <v>1.93</v>
          </cell>
        </row>
        <row r="31">
          <cell r="B31">
            <v>2.8907465711287233E-13</v>
          </cell>
          <cell r="C31">
            <v>5.49E-5</v>
          </cell>
          <cell r="D31">
            <v>3.3099999999999997E-2</v>
          </cell>
          <cell r="E31">
            <v>4.66</v>
          </cell>
          <cell r="F31">
            <v>69.2</v>
          </cell>
          <cell r="G31">
            <v>29.2</v>
          </cell>
          <cell r="I31">
            <v>4.66</v>
          </cell>
        </row>
        <row r="32">
          <cell r="B32">
            <v>1.8573127229488702E-13</v>
          </cell>
          <cell r="C32">
            <v>1.9999999999999999E-6</v>
          </cell>
          <cell r="D32">
            <v>8.9999999999999998E-4</v>
          </cell>
          <cell r="E32">
            <v>1.1000000000000001E-3</v>
          </cell>
          <cell r="F32">
            <v>11.66</v>
          </cell>
          <cell r="G32">
            <v>7.3</v>
          </cell>
          <cell r="H32">
            <v>56.09</v>
          </cell>
          <cell r="I32">
            <v>1.1000000000000001E-3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workbookViewId="0">
      <selection activeCell="K14" sqref="K14"/>
    </sheetView>
  </sheetViews>
  <sheetFormatPr baseColWidth="10" defaultColWidth="8.83203125" defaultRowHeight="15" x14ac:dyDescent="0.2"/>
  <cols>
    <col min="1" max="1" width="9.1640625"/>
  </cols>
  <sheetData>
    <row r="1" spans="1:2" s="127" customFormat="1" x14ac:dyDescent="0.2">
      <c r="A1" s="127" t="s">
        <v>6087</v>
      </c>
    </row>
    <row r="2" spans="1:2" x14ac:dyDescent="0.2">
      <c r="A2" s="92"/>
      <c r="B2" t="s">
        <v>1237</v>
      </c>
    </row>
    <row r="3" spans="1:2" x14ac:dyDescent="0.2">
      <c r="A3" s="39"/>
      <c r="B3" t="s">
        <v>1250</v>
      </c>
    </row>
    <row r="4" spans="1:2" x14ac:dyDescent="0.2">
      <c r="A4" s="94"/>
      <c r="B4" t="s">
        <v>6086</v>
      </c>
    </row>
    <row r="5" spans="1:2" x14ac:dyDescent="0.2">
      <c r="A5" s="95"/>
      <c r="B5" t="s">
        <v>1251</v>
      </c>
    </row>
    <row r="6" spans="1:2" x14ac:dyDescent="0.2">
      <c r="A6" s="96"/>
      <c r="B6" t="s">
        <v>1252</v>
      </c>
    </row>
    <row r="7" spans="1:2" x14ac:dyDescent="0.2">
      <c r="A7" s="97"/>
      <c r="B7" t="s">
        <v>1253</v>
      </c>
    </row>
    <row r="8" spans="1:2" x14ac:dyDescent="0.2">
      <c r="A8" s="98"/>
      <c r="B8" t="s">
        <v>1254</v>
      </c>
    </row>
    <row r="9" spans="1:2" x14ac:dyDescent="0.2">
      <c r="A9" s="99"/>
      <c r="B9" t="s">
        <v>1255</v>
      </c>
    </row>
    <row r="10" spans="1:2" x14ac:dyDescent="0.2">
      <c r="A10" s="100"/>
      <c r="B10" t="s">
        <v>118</v>
      </c>
    </row>
    <row r="11" spans="1:2" x14ac:dyDescent="0.2">
      <c r="A11" s="101"/>
      <c r="B11" t="s">
        <v>80</v>
      </c>
    </row>
    <row r="12" spans="1:2" x14ac:dyDescent="0.2">
      <c r="A12" s="102"/>
      <c r="B12" t="s">
        <v>137</v>
      </c>
    </row>
    <row r="13" spans="1:2" x14ac:dyDescent="0.2">
      <c r="A13" s="103"/>
      <c r="B13" t="s">
        <v>1256</v>
      </c>
    </row>
    <row r="14" spans="1:2" x14ac:dyDescent="0.2">
      <c r="A14" s="107"/>
      <c r="B14" t="s">
        <v>1264</v>
      </c>
    </row>
    <row r="15" spans="1:2" x14ac:dyDescent="0.2">
      <c r="A15" s="109"/>
      <c r="B15" t="s">
        <v>1267</v>
      </c>
    </row>
    <row r="16" spans="1:2" x14ac:dyDescent="0.2">
      <c r="A16" s="112"/>
      <c r="B16" t="s">
        <v>1268</v>
      </c>
    </row>
    <row r="17" spans="1:2" x14ac:dyDescent="0.2">
      <c r="A17" s="104"/>
      <c r="B17" t="s">
        <v>1257</v>
      </c>
    </row>
    <row r="18" spans="1:2" x14ac:dyDescent="0.2">
      <c r="A18" s="105"/>
      <c r="B18" t="s">
        <v>1258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D401"/>
  <sheetViews>
    <sheetView zoomScale="50" zoomScaleNormal="50" workbookViewId="0">
      <pane ySplit="1" topLeftCell="A170" activePane="bottomLeft" state="frozen"/>
      <selection pane="bottomLeft" sqref="A1:XFD1"/>
    </sheetView>
  </sheetViews>
  <sheetFormatPr baseColWidth="10" defaultColWidth="9.1640625" defaultRowHeight="15" x14ac:dyDescent="0.2"/>
  <cols>
    <col min="1" max="1" width="15" customWidth="1"/>
    <col min="2" max="2" width="46" customWidth="1"/>
    <col min="3" max="3" width="20.33203125" bestFit="1" customWidth="1"/>
    <col min="4" max="4" width="29" customWidth="1"/>
    <col min="5" max="5" width="35" bestFit="1" customWidth="1"/>
    <col min="6" max="6" width="18.33203125" customWidth="1"/>
    <col min="7" max="7" width="12.83203125" customWidth="1"/>
    <col min="8" max="8" width="12" customWidth="1"/>
    <col min="9" max="9" width="15" customWidth="1"/>
    <col min="10" max="10" width="17.5" customWidth="1"/>
    <col min="11" max="11" width="20.6640625" customWidth="1"/>
    <col min="12" max="17" width="15" customWidth="1"/>
    <col min="18" max="18" width="16.5" customWidth="1"/>
    <col min="19" max="19" width="16.33203125" customWidth="1"/>
    <col min="20" max="25" width="16" bestFit="1" customWidth="1"/>
    <col min="26" max="27" width="14.1640625" customWidth="1"/>
    <col min="28" max="28" width="12.1640625" style="41" bestFit="1" customWidth="1"/>
    <col min="29" max="29" width="17.33203125" style="41" customWidth="1"/>
    <col min="30" max="30" width="25.1640625" style="42" bestFit="1" customWidth="1"/>
    <col min="31" max="31" width="11.5" style="43" customWidth="1"/>
    <col min="32" max="32" width="24.5" style="43" bestFit="1" customWidth="1"/>
    <col min="33" max="33" width="19.33203125" customWidth="1"/>
    <col min="34" max="34" width="11.5" customWidth="1"/>
    <col min="35" max="35" width="9.33203125" bestFit="1" customWidth="1"/>
    <col min="36" max="36" width="14.83203125" bestFit="1" customWidth="1"/>
    <col min="37" max="37" width="19.5" bestFit="1" customWidth="1"/>
    <col min="38" max="38" width="9.33203125" bestFit="1" customWidth="1"/>
    <col min="39" max="39" width="14.1640625" customWidth="1"/>
    <col min="40" max="40" width="21.5" customWidth="1"/>
    <col min="41" max="108" width="9.33203125" bestFit="1" customWidth="1"/>
    <col min="109" max="109" width="9.5" bestFit="1" customWidth="1"/>
    <col min="110" max="140" width="9.33203125" bestFit="1" customWidth="1"/>
    <col min="141" max="141" width="9.83203125" bestFit="1" customWidth="1"/>
    <col min="142" max="145" width="9.33203125" bestFit="1" customWidth="1"/>
    <col min="146" max="147" width="9.33203125" customWidth="1"/>
    <col min="148" max="148" width="9.33203125" bestFit="1" customWidth="1"/>
    <col min="149" max="150" width="14.33203125" bestFit="1" customWidth="1"/>
    <col min="151" max="158" width="9.33203125" bestFit="1" customWidth="1"/>
    <col min="159" max="159" width="14.33203125" bestFit="1" customWidth="1"/>
    <col min="160" max="180" width="9.33203125" bestFit="1" customWidth="1"/>
    <col min="181" max="181" width="14.83203125" bestFit="1" customWidth="1"/>
    <col min="182" max="185" width="9.33203125" bestFit="1" customWidth="1"/>
  </cols>
  <sheetData>
    <row r="1" spans="1:186" s="130" customFormat="1" ht="106" thickBot="1" x14ac:dyDescent="0.25">
      <c r="A1" s="130" t="s">
        <v>1229</v>
      </c>
      <c r="B1" s="131" t="s">
        <v>647</v>
      </c>
      <c r="C1" s="131" t="s">
        <v>648</v>
      </c>
      <c r="D1" s="131" t="s">
        <v>649</v>
      </c>
      <c r="E1" s="131" t="s">
        <v>1238</v>
      </c>
      <c r="F1" s="131" t="s">
        <v>650</v>
      </c>
      <c r="G1" s="131" t="s">
        <v>651</v>
      </c>
      <c r="H1" s="131" t="s">
        <v>652</v>
      </c>
      <c r="I1" s="131" t="s">
        <v>653</v>
      </c>
      <c r="J1" s="131" t="s">
        <v>654</v>
      </c>
      <c r="K1" s="131" t="s">
        <v>1239</v>
      </c>
      <c r="L1" s="131" t="s">
        <v>655</v>
      </c>
      <c r="M1" s="131" t="s">
        <v>656</v>
      </c>
      <c r="N1" s="131" t="s">
        <v>657</v>
      </c>
      <c r="O1" s="131" t="s">
        <v>658</v>
      </c>
      <c r="P1" s="131" t="s">
        <v>659</v>
      </c>
      <c r="Q1" s="132" t="s">
        <v>660</v>
      </c>
      <c r="R1" s="132" t="s">
        <v>661</v>
      </c>
      <c r="S1" s="132" t="s">
        <v>662</v>
      </c>
      <c r="T1" s="133" t="s">
        <v>641</v>
      </c>
      <c r="U1" s="133" t="s">
        <v>642</v>
      </c>
      <c r="V1" s="133" t="s">
        <v>643</v>
      </c>
      <c r="W1" s="133" t="s">
        <v>644</v>
      </c>
      <c r="X1" s="133" t="s">
        <v>645</v>
      </c>
      <c r="Y1" s="133" t="s">
        <v>646</v>
      </c>
      <c r="Z1" s="134" t="s">
        <v>1230</v>
      </c>
      <c r="AA1" s="135" t="s">
        <v>1245</v>
      </c>
      <c r="AB1" s="136" t="s">
        <v>1240</v>
      </c>
      <c r="AC1" s="136" t="s">
        <v>1241</v>
      </c>
      <c r="AD1" s="137" t="s">
        <v>1242</v>
      </c>
      <c r="AE1" s="136" t="s">
        <v>1243</v>
      </c>
      <c r="AF1" s="136" t="s">
        <v>1244</v>
      </c>
      <c r="AG1" s="138" t="s">
        <v>179</v>
      </c>
      <c r="AH1" s="138" t="s">
        <v>180</v>
      </c>
      <c r="AI1" s="139" t="s">
        <v>81</v>
      </c>
      <c r="AJ1" s="138" t="s">
        <v>181</v>
      </c>
      <c r="AK1" s="138" t="s">
        <v>182</v>
      </c>
      <c r="AL1" s="139" t="s">
        <v>183</v>
      </c>
      <c r="AM1" s="139" t="s">
        <v>184</v>
      </c>
      <c r="AN1" s="139" t="s">
        <v>185</v>
      </c>
      <c r="AO1" s="140" t="s">
        <v>1096</v>
      </c>
      <c r="AP1" s="140" t="s">
        <v>1097</v>
      </c>
      <c r="AQ1" s="140" t="s">
        <v>1098</v>
      </c>
      <c r="AR1" s="140" t="s">
        <v>1099</v>
      </c>
      <c r="AS1" s="140" t="s">
        <v>1100</v>
      </c>
      <c r="AT1" s="140" t="s">
        <v>1101</v>
      </c>
      <c r="AU1" s="140" t="s">
        <v>1102</v>
      </c>
      <c r="AV1" s="140" t="s">
        <v>1103</v>
      </c>
      <c r="AW1" s="140" t="s">
        <v>1104</v>
      </c>
      <c r="AX1" s="140" t="s">
        <v>1105</v>
      </c>
      <c r="AY1" s="140" t="s">
        <v>1106</v>
      </c>
      <c r="AZ1" s="140" t="s">
        <v>1107</v>
      </c>
      <c r="BA1" s="140" t="s">
        <v>1108</v>
      </c>
      <c r="BB1" s="140" t="s">
        <v>1109</v>
      </c>
      <c r="BC1" s="140" t="s">
        <v>1110</v>
      </c>
      <c r="BD1" s="140" t="s">
        <v>1111</v>
      </c>
      <c r="BE1" s="140" t="s">
        <v>1112</v>
      </c>
      <c r="BF1" s="140" t="s">
        <v>1113</v>
      </c>
      <c r="BG1" s="140" t="s">
        <v>1114</v>
      </c>
      <c r="BH1" s="140" t="s">
        <v>1115</v>
      </c>
      <c r="BI1" s="140" t="s">
        <v>1116</v>
      </c>
      <c r="BJ1" s="140" t="s">
        <v>1117</v>
      </c>
      <c r="BK1" s="140" t="s">
        <v>1118</v>
      </c>
      <c r="BL1" s="140" t="s">
        <v>1119</v>
      </c>
      <c r="BM1" s="140" t="s">
        <v>1120</v>
      </c>
      <c r="BN1" s="128" t="s">
        <v>1121</v>
      </c>
      <c r="BO1" s="128" t="s">
        <v>1122</v>
      </c>
      <c r="BP1" s="128" t="s">
        <v>1123</v>
      </c>
      <c r="BQ1" s="128" t="s">
        <v>1124</v>
      </c>
      <c r="BR1" s="128" t="s">
        <v>1125</v>
      </c>
      <c r="BS1" s="128" t="s">
        <v>1126</v>
      </c>
      <c r="BT1" s="128" t="s">
        <v>1127</v>
      </c>
      <c r="BU1" s="128" t="s">
        <v>1128</v>
      </c>
      <c r="BV1" s="128" t="s">
        <v>1129</v>
      </c>
      <c r="BW1" s="128" t="s">
        <v>1130</v>
      </c>
      <c r="BX1" s="128" t="s">
        <v>1131</v>
      </c>
      <c r="BY1" s="128" t="s">
        <v>1132</v>
      </c>
      <c r="BZ1" s="128" t="s">
        <v>1133</v>
      </c>
      <c r="CA1" s="128" t="s">
        <v>1134</v>
      </c>
      <c r="CB1" s="128" t="s">
        <v>1135</v>
      </c>
      <c r="CC1" s="128" t="s">
        <v>1136</v>
      </c>
      <c r="CD1" s="128" t="s">
        <v>1137</v>
      </c>
      <c r="CE1" s="128" t="s">
        <v>1138</v>
      </c>
      <c r="CF1" s="128" t="s">
        <v>1139</v>
      </c>
      <c r="CG1" s="128" t="s">
        <v>1140</v>
      </c>
      <c r="CH1" s="128" t="s">
        <v>1141</v>
      </c>
      <c r="CI1" s="128" t="s">
        <v>1142</v>
      </c>
      <c r="CJ1" s="128" t="s">
        <v>1143</v>
      </c>
      <c r="CK1" s="128" t="s">
        <v>1144</v>
      </c>
      <c r="CL1" s="128" t="s">
        <v>1145</v>
      </c>
      <c r="CM1" s="128" t="s">
        <v>1146</v>
      </c>
      <c r="CN1" s="128" t="s">
        <v>1147</v>
      </c>
      <c r="CO1" s="128" t="s">
        <v>1148</v>
      </c>
      <c r="CP1" s="128" t="s">
        <v>1149</v>
      </c>
      <c r="CQ1" s="128" t="s">
        <v>1150</v>
      </c>
      <c r="CR1" s="128" t="s">
        <v>1151</v>
      </c>
      <c r="CS1" s="128" t="s">
        <v>1152</v>
      </c>
      <c r="CT1" s="128" t="s">
        <v>1153</v>
      </c>
      <c r="CU1" s="128" t="s">
        <v>1154</v>
      </c>
      <c r="CV1" s="128" t="s">
        <v>1155</v>
      </c>
      <c r="CW1" s="128" t="s">
        <v>1156</v>
      </c>
      <c r="CX1" s="128" t="s">
        <v>1157</v>
      </c>
      <c r="CY1" s="128" t="s">
        <v>1158</v>
      </c>
      <c r="CZ1" s="128" t="s">
        <v>1159</v>
      </c>
      <c r="DA1" s="128" t="s">
        <v>1160</v>
      </c>
      <c r="DB1" s="128" t="s">
        <v>1161</v>
      </c>
      <c r="DC1" s="128" t="s">
        <v>1162</v>
      </c>
      <c r="DD1" s="128" t="s">
        <v>1163</v>
      </c>
      <c r="DE1" s="128" t="s">
        <v>1164</v>
      </c>
      <c r="DF1" s="128" t="s">
        <v>1165</v>
      </c>
      <c r="DG1" s="128" t="s">
        <v>1166</v>
      </c>
      <c r="DH1" s="128" t="s">
        <v>1167</v>
      </c>
      <c r="DI1" s="128" t="s">
        <v>1168</v>
      </c>
      <c r="DJ1" s="128" t="s">
        <v>1169</v>
      </c>
      <c r="DK1" s="128" t="s">
        <v>1170</v>
      </c>
      <c r="DL1" s="128" t="s">
        <v>1171</v>
      </c>
      <c r="DM1" s="128" t="s">
        <v>1172</v>
      </c>
      <c r="DN1" s="129" t="s">
        <v>1173</v>
      </c>
      <c r="DO1" s="129" t="s">
        <v>1174</v>
      </c>
      <c r="DP1" s="129" t="s">
        <v>1175</v>
      </c>
      <c r="DQ1" s="129" t="s">
        <v>1176</v>
      </c>
      <c r="DR1" s="129" t="s">
        <v>1177</v>
      </c>
      <c r="DS1" s="129" t="s">
        <v>1178</v>
      </c>
      <c r="DT1" s="129" t="s">
        <v>1179</v>
      </c>
      <c r="DU1" s="129" t="s">
        <v>1180</v>
      </c>
      <c r="DV1" s="129" t="s">
        <v>1181</v>
      </c>
      <c r="DW1" s="141" t="s">
        <v>1182</v>
      </c>
      <c r="DX1" s="141" t="s">
        <v>1183</v>
      </c>
      <c r="DY1" s="141" t="s">
        <v>1184</v>
      </c>
      <c r="DZ1" s="141" t="s">
        <v>1185</v>
      </c>
      <c r="EA1" s="141" t="s">
        <v>1186</v>
      </c>
      <c r="EB1" s="142" t="s">
        <v>1187</v>
      </c>
      <c r="EC1" s="142" t="s">
        <v>1188</v>
      </c>
      <c r="ED1" s="142" t="s">
        <v>1189</v>
      </c>
      <c r="EE1" s="142" t="s">
        <v>1190</v>
      </c>
      <c r="EF1" s="143" t="s">
        <v>6088</v>
      </c>
      <c r="EG1" s="143" t="s">
        <v>6089</v>
      </c>
      <c r="EH1" s="143" t="s">
        <v>6090</v>
      </c>
      <c r="EI1" s="144" t="s">
        <v>6091</v>
      </c>
      <c r="EJ1" s="144" t="s">
        <v>6092</v>
      </c>
      <c r="EK1" s="145" t="s">
        <v>1259</v>
      </c>
      <c r="EL1" s="145" t="s">
        <v>1260</v>
      </c>
      <c r="EM1" s="145" t="s">
        <v>1261</v>
      </c>
      <c r="EN1" s="145" t="s">
        <v>1262</v>
      </c>
      <c r="EO1" s="145" t="s">
        <v>1263</v>
      </c>
      <c r="EP1" s="146" t="s">
        <v>1265</v>
      </c>
      <c r="EQ1" s="147" t="s">
        <v>1266</v>
      </c>
      <c r="ER1" s="148" t="s">
        <v>1191</v>
      </c>
      <c r="ES1" s="148" t="s">
        <v>1192</v>
      </c>
      <c r="ET1" s="149" t="s">
        <v>1193</v>
      </c>
      <c r="EU1" s="149" t="s">
        <v>1194</v>
      </c>
      <c r="EV1" s="149" t="s">
        <v>1195</v>
      </c>
      <c r="EW1" s="149" t="s">
        <v>1196</v>
      </c>
      <c r="EX1" s="149" t="s">
        <v>1197</v>
      </c>
      <c r="EY1" s="149" t="s">
        <v>1198</v>
      </c>
      <c r="EZ1" s="149" t="s">
        <v>1199</v>
      </c>
      <c r="FA1" s="149" t="s">
        <v>1200</v>
      </c>
      <c r="FB1" s="150" t="s">
        <v>1201</v>
      </c>
      <c r="FC1" s="150" t="s">
        <v>1202</v>
      </c>
      <c r="FD1" s="150" t="s">
        <v>1203</v>
      </c>
      <c r="FE1" s="150" t="s">
        <v>1204</v>
      </c>
      <c r="FF1" s="151" t="s">
        <v>1205</v>
      </c>
      <c r="FG1" s="150" t="s">
        <v>1206</v>
      </c>
      <c r="FH1" s="150" t="s">
        <v>1207</v>
      </c>
      <c r="FI1" s="150" t="s">
        <v>1208</v>
      </c>
      <c r="FJ1" s="150" t="s">
        <v>1209</v>
      </c>
      <c r="FK1" s="150" t="s">
        <v>1210</v>
      </c>
      <c r="FL1" s="150" t="s">
        <v>1211</v>
      </c>
      <c r="FM1" s="150" t="s">
        <v>1212</v>
      </c>
      <c r="FN1" s="150" t="s">
        <v>1213</v>
      </c>
      <c r="FO1" s="150" t="s">
        <v>1214</v>
      </c>
      <c r="FP1" s="150" t="s">
        <v>1215</v>
      </c>
      <c r="FQ1" s="150" t="s">
        <v>1216</v>
      </c>
      <c r="FR1" s="150" t="s">
        <v>1217</v>
      </c>
      <c r="FS1" s="150" t="s">
        <v>1218</v>
      </c>
      <c r="FT1" s="150" t="s">
        <v>1219</v>
      </c>
      <c r="FU1" s="150" t="s">
        <v>1220</v>
      </c>
      <c r="FV1" s="150" t="s">
        <v>1221</v>
      </c>
      <c r="FW1" s="150" t="s">
        <v>1222</v>
      </c>
      <c r="FX1" s="150" t="s">
        <v>1223</v>
      </c>
      <c r="FY1" s="150" t="s">
        <v>1224</v>
      </c>
      <c r="FZ1" s="150" t="s">
        <v>1225</v>
      </c>
      <c r="GA1" s="150" t="s">
        <v>1226</v>
      </c>
      <c r="GB1" s="150" t="s">
        <v>1227</v>
      </c>
      <c r="GC1" s="150" t="s">
        <v>1228</v>
      </c>
    </row>
    <row r="2" spans="1:186" s="6" customFormat="1" x14ac:dyDescent="0.2">
      <c r="A2" s="60" t="s">
        <v>968</v>
      </c>
      <c r="B2" s="6" t="s">
        <v>969</v>
      </c>
      <c r="C2" s="6" t="s">
        <v>229</v>
      </c>
      <c r="D2" s="6" t="s">
        <v>876</v>
      </c>
      <c r="I2" s="6">
        <v>1</v>
      </c>
      <c r="L2" s="6" t="s">
        <v>228</v>
      </c>
      <c r="M2" s="6" t="s">
        <v>970</v>
      </c>
      <c r="N2" s="6" t="s">
        <v>192</v>
      </c>
      <c r="O2" s="6" t="s">
        <v>671</v>
      </c>
      <c r="P2" s="6" t="s">
        <v>672</v>
      </c>
      <c r="T2">
        <v>17.923438737284734</v>
      </c>
      <c r="U2">
        <v>3.890344616742428</v>
      </c>
      <c r="V2">
        <v>10000</v>
      </c>
      <c r="W2">
        <v>8.3630763111623985</v>
      </c>
      <c r="X2">
        <v>0.17820094452321761</v>
      </c>
      <c r="Y2">
        <v>0.79032055527175171</v>
      </c>
      <c r="Z2"/>
      <c r="AA2"/>
      <c r="AB2" s="61"/>
      <c r="AC2" s="61"/>
      <c r="AD2" s="62"/>
      <c r="AE2" s="63"/>
      <c r="AF2" s="63"/>
      <c r="AG2" s="6" t="s">
        <v>227</v>
      </c>
      <c r="AH2" s="6" t="s">
        <v>228</v>
      </c>
      <c r="AI2" s="2"/>
      <c r="AJ2" s="3" t="s">
        <v>229</v>
      </c>
      <c r="AK2" s="3" t="s">
        <v>192</v>
      </c>
      <c r="AL2" s="6">
        <v>155</v>
      </c>
      <c r="DW2" s="15"/>
      <c r="DX2" s="15"/>
      <c r="DY2" s="15"/>
      <c r="DZ2" s="15"/>
      <c r="EA2" s="15"/>
      <c r="EB2" s="15"/>
      <c r="EC2" s="15"/>
      <c r="ED2" s="15"/>
      <c r="EE2" s="15"/>
      <c r="EF2" s="15"/>
      <c r="EG2" s="15"/>
      <c r="EH2" s="15"/>
      <c r="EI2" s="15"/>
      <c r="EJ2" s="15"/>
      <c r="EK2"/>
      <c r="EL2"/>
      <c r="EM2"/>
      <c r="EN2"/>
      <c r="EO2"/>
      <c r="EP2"/>
      <c r="EQ2"/>
      <c r="GD2"/>
    </row>
    <row r="3" spans="1:186" s="6" customFormat="1" x14ac:dyDescent="0.2">
      <c r="A3" s="60" t="s">
        <v>933</v>
      </c>
      <c r="B3" s="6" t="s">
        <v>424</v>
      </c>
      <c r="C3" s="6" t="s">
        <v>61</v>
      </c>
      <c r="D3" s="6" t="s">
        <v>876</v>
      </c>
      <c r="H3" s="6">
        <v>1</v>
      </c>
      <c r="I3" s="6">
        <v>1</v>
      </c>
      <c r="L3" s="6" t="s">
        <v>425</v>
      </c>
      <c r="M3" s="6" t="s">
        <v>934</v>
      </c>
      <c r="N3" s="6" t="s">
        <v>192</v>
      </c>
      <c r="O3" s="6" t="s">
        <v>671</v>
      </c>
      <c r="P3" s="6" t="s">
        <v>672</v>
      </c>
      <c r="T3">
        <v>5.8720586209576986</v>
      </c>
      <c r="U3">
        <v>5.7305414207857535</v>
      </c>
      <c r="V3">
        <v>10000</v>
      </c>
      <c r="W3">
        <v>18.481603889790225</v>
      </c>
      <c r="X3">
        <v>0.17970406877122705</v>
      </c>
      <c r="Y3">
        <v>0.67183998690657643</v>
      </c>
      <c r="Z3" s="64">
        <v>103</v>
      </c>
      <c r="AA3" s="64"/>
      <c r="AB3" s="61"/>
      <c r="AC3" s="61"/>
      <c r="AD3" s="62"/>
      <c r="AE3" s="63"/>
      <c r="AF3" s="63"/>
      <c r="AG3" s="6" t="s">
        <v>424</v>
      </c>
      <c r="AH3" s="6" t="s">
        <v>425</v>
      </c>
      <c r="AI3" s="5">
        <v>300308</v>
      </c>
      <c r="AJ3" s="3" t="s">
        <v>61</v>
      </c>
      <c r="AK3" s="3" t="s">
        <v>192</v>
      </c>
      <c r="AL3" s="6">
        <v>946</v>
      </c>
      <c r="AM3" s="6" t="s">
        <v>193</v>
      </c>
      <c r="CT3" s="15">
        <v>0</v>
      </c>
      <c r="CU3" s="15">
        <v>0</v>
      </c>
      <c r="CV3" s="15">
        <v>0</v>
      </c>
      <c r="CW3" s="15">
        <v>0</v>
      </c>
      <c r="CX3" s="15">
        <v>0</v>
      </c>
      <c r="CY3" s="15">
        <v>0</v>
      </c>
      <c r="CZ3" s="15">
        <v>0</v>
      </c>
      <c r="DA3" s="15">
        <v>0</v>
      </c>
      <c r="DB3" s="15">
        <v>0</v>
      </c>
      <c r="DC3" s="15">
        <v>0</v>
      </c>
      <c r="DD3" s="15">
        <v>0</v>
      </c>
      <c r="DE3" s="15">
        <v>0</v>
      </c>
      <c r="DF3" s="15">
        <v>0</v>
      </c>
      <c r="DG3" s="15">
        <v>0</v>
      </c>
      <c r="DH3" s="15">
        <v>0</v>
      </c>
      <c r="DI3" s="15">
        <v>0</v>
      </c>
      <c r="DJ3" s="15">
        <v>0</v>
      </c>
      <c r="DK3" s="15">
        <v>0</v>
      </c>
      <c r="DL3" s="15">
        <v>0</v>
      </c>
      <c r="DM3" s="15">
        <v>0</v>
      </c>
      <c r="DN3" s="16">
        <v>0</v>
      </c>
      <c r="DO3" s="16">
        <v>0</v>
      </c>
      <c r="DP3" s="16">
        <v>0</v>
      </c>
      <c r="DQ3" s="16">
        <v>0</v>
      </c>
      <c r="DS3" s="16">
        <v>0</v>
      </c>
      <c r="DT3" s="16">
        <v>0</v>
      </c>
      <c r="DU3" s="16">
        <v>0</v>
      </c>
      <c r="DV3" s="16">
        <v>0</v>
      </c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/>
      <c r="EL3"/>
      <c r="EM3"/>
      <c r="EN3"/>
      <c r="EO3"/>
      <c r="EP3"/>
      <c r="EQ3"/>
      <c r="ER3" s="65">
        <v>5080.2700000000004</v>
      </c>
      <c r="ES3" s="6">
        <v>2096.1766666666667</v>
      </c>
      <c r="ET3" s="6">
        <v>252.82000000000002</v>
      </c>
      <c r="EU3" s="6">
        <v>140.29</v>
      </c>
      <c r="EV3" s="6">
        <v>2026.5033333333333</v>
      </c>
      <c r="FB3" s="6">
        <v>0</v>
      </c>
      <c r="FC3" s="6">
        <v>0</v>
      </c>
      <c r="FD3" s="6">
        <v>0</v>
      </c>
      <c r="FE3" s="6">
        <v>0</v>
      </c>
      <c r="FF3" s="6">
        <v>0</v>
      </c>
      <c r="FG3" s="6">
        <v>0</v>
      </c>
      <c r="FH3" s="6">
        <v>0</v>
      </c>
      <c r="FI3" s="6">
        <v>0</v>
      </c>
      <c r="FJ3" s="66">
        <v>0</v>
      </c>
      <c r="FK3" s="66">
        <v>0</v>
      </c>
      <c r="FL3" s="66">
        <v>0</v>
      </c>
      <c r="FM3" s="66">
        <v>0</v>
      </c>
      <c r="FN3" s="66">
        <v>0</v>
      </c>
      <c r="FO3" s="66">
        <v>4.9805555555555561E-2</v>
      </c>
      <c r="FP3" s="6">
        <v>0</v>
      </c>
      <c r="FQ3" s="6">
        <v>0</v>
      </c>
      <c r="FR3" s="66">
        <v>0</v>
      </c>
      <c r="FS3" s="6">
        <v>1.4222222222222223E-3</v>
      </c>
      <c r="FT3" s="6">
        <v>0</v>
      </c>
      <c r="FU3" s="6">
        <v>2.3068888888888885E-2</v>
      </c>
      <c r="FV3" s="6">
        <v>0</v>
      </c>
      <c r="FW3" s="6">
        <v>0</v>
      </c>
      <c r="FX3" s="6">
        <v>0</v>
      </c>
      <c r="FY3" s="6">
        <v>0</v>
      </c>
      <c r="FZ3" s="66">
        <v>0</v>
      </c>
      <c r="GA3" s="6">
        <v>0</v>
      </c>
      <c r="GB3" s="6">
        <v>0</v>
      </c>
      <c r="GC3" s="6">
        <v>0</v>
      </c>
      <c r="GD3"/>
    </row>
    <row r="4" spans="1:186" s="6" customFormat="1" x14ac:dyDescent="0.2">
      <c r="A4" s="60" t="s">
        <v>825</v>
      </c>
      <c r="B4" s="6" t="s">
        <v>627</v>
      </c>
      <c r="C4" s="6" t="s">
        <v>388</v>
      </c>
      <c r="D4" s="6" t="s">
        <v>255</v>
      </c>
      <c r="F4" s="6">
        <v>300347</v>
      </c>
      <c r="H4" s="6">
        <v>1</v>
      </c>
      <c r="I4" s="6">
        <v>1</v>
      </c>
      <c r="J4" s="6">
        <v>1</v>
      </c>
      <c r="L4" s="6" t="s">
        <v>387</v>
      </c>
      <c r="M4" s="6" t="s">
        <v>826</v>
      </c>
      <c r="N4" s="6" t="s">
        <v>201</v>
      </c>
      <c r="O4" s="6" t="s">
        <v>671</v>
      </c>
      <c r="P4" s="6" t="s">
        <v>672</v>
      </c>
      <c r="T4">
        <v>134.09098068355348</v>
      </c>
      <c r="U4">
        <v>10000</v>
      </c>
      <c r="V4">
        <v>10000</v>
      </c>
      <c r="W4">
        <v>10000</v>
      </c>
      <c r="X4">
        <v>3.2540723866170018E-2</v>
      </c>
      <c r="Y4">
        <v>6.2698411067964324E-2</v>
      </c>
      <c r="Z4" s="64">
        <v>71</v>
      </c>
      <c r="AA4" s="64"/>
      <c r="AB4" s="61"/>
      <c r="AC4" s="61"/>
      <c r="AD4" s="62"/>
      <c r="AE4" s="63"/>
      <c r="AF4" s="63"/>
      <c r="AG4" s="6" t="s">
        <v>386</v>
      </c>
      <c r="AH4" s="6" t="s">
        <v>387</v>
      </c>
      <c r="AI4" s="2"/>
      <c r="AJ4" s="3" t="s">
        <v>388</v>
      </c>
      <c r="AK4" s="3" t="s">
        <v>201</v>
      </c>
      <c r="AL4" s="6">
        <v>697</v>
      </c>
      <c r="AM4" s="6" t="s">
        <v>193</v>
      </c>
      <c r="AN4" s="6" t="s">
        <v>389</v>
      </c>
      <c r="CT4" s="15">
        <v>0</v>
      </c>
      <c r="CU4" s="15">
        <v>0</v>
      </c>
      <c r="CV4" s="15">
        <v>0</v>
      </c>
      <c r="CW4" s="15">
        <v>0</v>
      </c>
      <c r="CX4" s="15">
        <v>210</v>
      </c>
      <c r="CY4" s="15">
        <v>210</v>
      </c>
      <c r="CZ4" s="15">
        <v>0</v>
      </c>
      <c r="DA4" s="15">
        <v>0</v>
      </c>
      <c r="DB4" s="15">
        <v>210</v>
      </c>
      <c r="DC4" s="15">
        <v>210</v>
      </c>
      <c r="DD4" s="15">
        <v>0</v>
      </c>
      <c r="DE4" s="15">
        <v>0</v>
      </c>
      <c r="DF4" s="15">
        <v>160</v>
      </c>
      <c r="DG4" s="15">
        <v>0</v>
      </c>
      <c r="DH4" s="15">
        <v>180</v>
      </c>
      <c r="DI4" s="15">
        <v>0</v>
      </c>
      <c r="DJ4" s="15">
        <v>0</v>
      </c>
      <c r="DK4" s="15">
        <v>0</v>
      </c>
      <c r="DL4" s="15">
        <v>160</v>
      </c>
      <c r="DM4" s="15">
        <v>0</v>
      </c>
      <c r="DN4" s="16">
        <v>0</v>
      </c>
      <c r="DO4" s="16">
        <v>0</v>
      </c>
      <c r="DP4" s="16">
        <v>160</v>
      </c>
      <c r="DQ4" s="16">
        <v>0</v>
      </c>
      <c r="DS4" s="16">
        <v>0</v>
      </c>
      <c r="DT4" s="16">
        <v>0</v>
      </c>
      <c r="DU4" s="16">
        <v>0</v>
      </c>
      <c r="DV4" s="16">
        <v>190</v>
      </c>
      <c r="DW4" s="15"/>
      <c r="DX4" s="15"/>
      <c r="DY4" s="15"/>
      <c r="DZ4" s="15"/>
      <c r="EA4" s="15"/>
      <c r="EJ4" s="15"/>
      <c r="EK4"/>
      <c r="EL4"/>
      <c r="EM4"/>
      <c r="EN4"/>
      <c r="EO4"/>
      <c r="EP4"/>
      <c r="EQ4"/>
      <c r="ER4" s="67">
        <v>45.45333333333334</v>
      </c>
      <c r="ES4" s="6">
        <v>0</v>
      </c>
      <c r="ET4" s="6">
        <v>30.310000000000002</v>
      </c>
      <c r="EU4" s="6">
        <v>33.506666666666668</v>
      </c>
      <c r="EV4" s="6">
        <v>27.379999999999995</v>
      </c>
      <c r="FB4" s="6">
        <v>0</v>
      </c>
      <c r="FC4" s="6">
        <v>0</v>
      </c>
      <c r="FD4" s="6">
        <v>0</v>
      </c>
      <c r="FE4" s="6">
        <v>0</v>
      </c>
      <c r="FF4" s="6">
        <v>0</v>
      </c>
      <c r="FG4" s="6">
        <v>0</v>
      </c>
      <c r="FH4" s="6">
        <v>0</v>
      </c>
      <c r="FI4" s="6">
        <v>0</v>
      </c>
      <c r="FJ4" s="66">
        <v>0</v>
      </c>
      <c r="FK4" s="66">
        <v>0</v>
      </c>
      <c r="FL4" s="66">
        <v>0</v>
      </c>
      <c r="FM4" s="66">
        <v>0</v>
      </c>
      <c r="FN4" s="66">
        <v>0</v>
      </c>
      <c r="FO4" s="66">
        <v>0</v>
      </c>
      <c r="FP4" s="6">
        <v>0</v>
      </c>
      <c r="FQ4" s="6">
        <v>0</v>
      </c>
      <c r="FR4" s="66">
        <v>0</v>
      </c>
      <c r="FS4" s="6">
        <v>0</v>
      </c>
      <c r="FT4" s="6">
        <v>0</v>
      </c>
      <c r="FU4" s="6">
        <v>0</v>
      </c>
      <c r="FV4" s="6">
        <v>0</v>
      </c>
      <c r="FW4" s="6">
        <v>0</v>
      </c>
      <c r="FX4" s="6">
        <v>0</v>
      </c>
      <c r="FY4" s="6">
        <v>0</v>
      </c>
      <c r="FZ4" s="66">
        <v>0</v>
      </c>
      <c r="GA4" s="6">
        <v>0</v>
      </c>
      <c r="GB4" s="6">
        <v>0</v>
      </c>
      <c r="GC4" s="6">
        <v>0</v>
      </c>
      <c r="GD4"/>
    </row>
    <row r="5" spans="1:186" s="6" customFormat="1" x14ac:dyDescent="0.2">
      <c r="A5" s="60" t="s">
        <v>804</v>
      </c>
      <c r="B5" s="6" t="s">
        <v>56</v>
      </c>
      <c r="C5" s="6" t="s">
        <v>57</v>
      </c>
      <c r="D5" s="6" t="s">
        <v>805</v>
      </c>
      <c r="F5" s="6">
        <v>300297</v>
      </c>
      <c r="H5" s="6">
        <v>1</v>
      </c>
      <c r="I5" s="6">
        <v>1</v>
      </c>
      <c r="J5" s="6">
        <v>1</v>
      </c>
      <c r="L5" s="6" t="s">
        <v>361</v>
      </c>
      <c r="M5" s="6" t="s">
        <v>806</v>
      </c>
      <c r="N5" s="6" t="s">
        <v>192</v>
      </c>
      <c r="O5" s="6" t="s">
        <v>671</v>
      </c>
      <c r="P5" s="6" t="s">
        <v>672</v>
      </c>
      <c r="T5">
        <v>7.7445863266308921</v>
      </c>
      <c r="U5">
        <v>6.752474123038045</v>
      </c>
      <c r="V5">
        <v>14.476821151166673</v>
      </c>
      <c r="W5">
        <v>14.595236966343476</v>
      </c>
      <c r="X5">
        <v>0.67888948320772236</v>
      </c>
      <c r="Y5">
        <v>0.69529139002969631</v>
      </c>
      <c r="Z5"/>
      <c r="AA5"/>
      <c r="AB5" s="61"/>
      <c r="AC5" s="61"/>
      <c r="AD5" s="62"/>
      <c r="AE5" s="63"/>
      <c r="AF5" s="63"/>
      <c r="AG5" s="6" t="s">
        <v>56</v>
      </c>
      <c r="AH5" s="6" t="s">
        <v>363</v>
      </c>
      <c r="AI5" s="4">
        <v>300297</v>
      </c>
      <c r="AJ5" s="3" t="s">
        <v>57</v>
      </c>
      <c r="AK5" s="3" t="s">
        <v>192</v>
      </c>
      <c r="AL5" s="6">
        <v>628</v>
      </c>
      <c r="AM5" s="6" t="s">
        <v>193</v>
      </c>
      <c r="CT5" s="15">
        <v>0</v>
      </c>
      <c r="CU5" s="15">
        <v>62</v>
      </c>
      <c r="CV5" s="15">
        <v>0</v>
      </c>
      <c r="CW5" s="15">
        <v>0</v>
      </c>
      <c r="CX5" s="15">
        <v>0</v>
      </c>
      <c r="CY5" s="15">
        <v>0</v>
      </c>
      <c r="CZ5" s="15">
        <v>0</v>
      </c>
      <c r="DA5" s="15">
        <v>0</v>
      </c>
      <c r="DB5" s="15">
        <v>0</v>
      </c>
      <c r="DC5" s="15">
        <v>0</v>
      </c>
      <c r="DD5" s="15">
        <v>0</v>
      </c>
      <c r="DE5" s="15">
        <v>0</v>
      </c>
      <c r="DF5" s="15">
        <v>78</v>
      </c>
      <c r="DG5" s="15">
        <v>0</v>
      </c>
      <c r="DH5" s="15">
        <v>73</v>
      </c>
      <c r="DI5" s="15">
        <v>0</v>
      </c>
      <c r="DJ5" s="15">
        <v>83</v>
      </c>
      <c r="DK5" s="15">
        <v>0</v>
      </c>
      <c r="DL5" s="15">
        <v>69</v>
      </c>
      <c r="DM5" s="15">
        <v>0</v>
      </c>
      <c r="DN5" s="16">
        <v>0</v>
      </c>
      <c r="DO5" s="16">
        <v>0</v>
      </c>
      <c r="DP5" s="16">
        <v>0</v>
      </c>
      <c r="DQ5" s="16">
        <v>0</v>
      </c>
      <c r="DS5" s="16">
        <v>0</v>
      </c>
      <c r="DT5" s="16">
        <v>0</v>
      </c>
      <c r="DU5" s="16">
        <v>82</v>
      </c>
      <c r="DV5" s="16">
        <v>0</v>
      </c>
      <c r="EB5" s="15"/>
      <c r="EC5" s="15"/>
      <c r="ED5" s="15"/>
      <c r="EE5" s="15"/>
      <c r="EF5" s="15"/>
      <c r="EG5" s="15"/>
      <c r="EH5" s="15"/>
      <c r="EI5" s="15"/>
      <c r="EK5"/>
      <c r="EL5"/>
      <c r="EM5"/>
      <c r="EN5"/>
      <c r="EO5"/>
      <c r="EP5"/>
      <c r="EQ5"/>
      <c r="ER5" s="65">
        <v>5937.5333333333328</v>
      </c>
      <c r="ES5" s="6">
        <v>4345.2</v>
      </c>
      <c r="ET5" s="6">
        <v>460.53999999999996</v>
      </c>
      <c r="EU5" s="6">
        <v>665.53666666666675</v>
      </c>
      <c r="EV5" s="6">
        <v>3179.6966666666667</v>
      </c>
      <c r="GD5"/>
    </row>
    <row r="6" spans="1:186" s="6" customFormat="1" x14ac:dyDescent="0.2">
      <c r="A6" s="60" t="s">
        <v>894</v>
      </c>
      <c r="B6" s="6" t="s">
        <v>584</v>
      </c>
      <c r="C6" s="6" t="s">
        <v>266</v>
      </c>
      <c r="D6" s="6" t="s">
        <v>876</v>
      </c>
      <c r="H6" s="6">
        <v>1</v>
      </c>
      <c r="I6" s="6">
        <v>1</v>
      </c>
      <c r="L6" s="6" t="s">
        <v>265</v>
      </c>
      <c r="M6" s="6" t="s">
        <v>895</v>
      </c>
      <c r="N6" s="6" t="s">
        <v>201</v>
      </c>
      <c r="O6" s="6" t="s">
        <v>671</v>
      </c>
      <c r="P6" s="6" t="s">
        <v>672</v>
      </c>
      <c r="T6">
        <v>5.1800326052688987</v>
      </c>
      <c r="U6">
        <v>5.0809659305657986</v>
      </c>
      <c r="V6">
        <v>5.6642994611720621</v>
      </c>
      <c r="W6">
        <v>5.5471671450317697</v>
      </c>
      <c r="X6">
        <v>5.793525927913986E-2</v>
      </c>
      <c r="Y6">
        <v>6.518778067260371E-2</v>
      </c>
      <c r="Z6" s="64">
        <v>50</v>
      </c>
      <c r="AA6" s="64"/>
      <c r="AB6" s="61"/>
      <c r="AC6" s="61"/>
      <c r="AD6" s="62"/>
      <c r="AE6" s="63"/>
      <c r="AF6" s="63"/>
      <c r="AG6" s="6" t="s">
        <v>264</v>
      </c>
      <c r="AH6" s="6" t="s">
        <v>265</v>
      </c>
      <c r="AI6" s="2"/>
      <c r="AJ6" s="3" t="s">
        <v>266</v>
      </c>
      <c r="AK6" s="3" t="s">
        <v>201</v>
      </c>
      <c r="AL6" s="6">
        <v>297</v>
      </c>
      <c r="AM6" s="6" t="s">
        <v>193</v>
      </c>
      <c r="DW6" s="15"/>
      <c r="DX6" s="15"/>
      <c r="DY6" s="15"/>
      <c r="DZ6" s="15"/>
      <c r="EA6" s="15"/>
      <c r="EJ6" s="15"/>
      <c r="EK6"/>
      <c r="EL6"/>
      <c r="EM6"/>
      <c r="EN6"/>
      <c r="EO6"/>
      <c r="EP6"/>
      <c r="EQ6"/>
      <c r="ER6" s="67">
        <v>179.01</v>
      </c>
      <c r="ES6" s="6">
        <v>0</v>
      </c>
      <c r="ET6" s="6">
        <v>101.75666666666666</v>
      </c>
      <c r="EU6" s="6">
        <v>95.323333333333338</v>
      </c>
      <c r="EV6" s="6">
        <v>80.423333333333346</v>
      </c>
      <c r="FB6" s="6">
        <v>0</v>
      </c>
      <c r="FC6" s="6">
        <v>0</v>
      </c>
      <c r="FD6" s="6">
        <v>0</v>
      </c>
      <c r="FE6" s="6">
        <v>0</v>
      </c>
      <c r="FF6" s="6">
        <v>0</v>
      </c>
      <c r="FG6" s="6">
        <v>0</v>
      </c>
      <c r="FH6" s="6">
        <v>0</v>
      </c>
      <c r="FI6" s="6">
        <v>0</v>
      </c>
      <c r="FJ6" s="66">
        <v>0</v>
      </c>
      <c r="FK6" s="66">
        <v>0</v>
      </c>
      <c r="FL6" s="66">
        <v>0</v>
      </c>
      <c r="FM6" s="66">
        <v>0</v>
      </c>
      <c r="FN6" s="66">
        <v>0</v>
      </c>
      <c r="FO6" s="66">
        <v>0</v>
      </c>
      <c r="FP6" s="6">
        <v>0</v>
      </c>
      <c r="FQ6" s="6">
        <v>0</v>
      </c>
      <c r="FR6" s="66">
        <v>0</v>
      </c>
      <c r="FS6" s="6">
        <v>0</v>
      </c>
      <c r="FT6" s="6">
        <v>0</v>
      </c>
      <c r="FU6" s="6">
        <v>0</v>
      </c>
      <c r="FV6" s="6">
        <v>0</v>
      </c>
      <c r="FW6" s="6">
        <v>0</v>
      </c>
      <c r="FX6" s="6">
        <v>0</v>
      </c>
      <c r="FY6" s="6">
        <v>0</v>
      </c>
      <c r="FZ6" s="66">
        <v>0</v>
      </c>
      <c r="GA6" s="6">
        <v>0</v>
      </c>
      <c r="GB6" s="6">
        <v>0</v>
      </c>
      <c r="GC6" s="6">
        <v>0</v>
      </c>
      <c r="GD6"/>
    </row>
    <row r="7" spans="1:186" s="6" customFormat="1" x14ac:dyDescent="0.2">
      <c r="A7" s="60" t="s">
        <v>822</v>
      </c>
      <c r="B7" s="6" t="s">
        <v>823</v>
      </c>
      <c r="C7" s="6" t="s">
        <v>69</v>
      </c>
      <c r="D7" s="6" t="s">
        <v>805</v>
      </c>
      <c r="F7" s="6">
        <v>300309</v>
      </c>
      <c r="H7" s="6">
        <v>1</v>
      </c>
      <c r="I7" s="6">
        <v>1</v>
      </c>
      <c r="J7" s="6">
        <v>1</v>
      </c>
      <c r="L7" s="6" t="s">
        <v>454</v>
      </c>
      <c r="M7" s="6" t="s">
        <v>824</v>
      </c>
      <c r="N7" s="6" t="s">
        <v>192</v>
      </c>
      <c r="O7" s="6" t="s">
        <v>671</v>
      </c>
      <c r="P7" s="6" t="s">
        <v>672</v>
      </c>
      <c r="T7">
        <v>236.63186342790075</v>
      </c>
      <c r="U7">
        <v>38.846479753614787</v>
      </c>
      <c r="V7">
        <v>10000</v>
      </c>
      <c r="W7">
        <v>10000</v>
      </c>
      <c r="X7">
        <v>6.9203832764753365E-2</v>
      </c>
      <c r="Y7">
        <v>0.12849203598286013</v>
      </c>
      <c r="Z7"/>
      <c r="AA7"/>
      <c r="AB7" s="61"/>
      <c r="AC7" s="61"/>
      <c r="AD7" s="62"/>
      <c r="AE7" s="63"/>
      <c r="AF7" s="63"/>
      <c r="AG7" s="6" t="s">
        <v>453</v>
      </c>
      <c r="AH7" s="6" t="s">
        <v>454</v>
      </c>
      <c r="AI7" s="4">
        <v>300309</v>
      </c>
      <c r="AJ7" s="3" t="s">
        <v>69</v>
      </c>
      <c r="AK7" s="3" t="s">
        <v>192</v>
      </c>
      <c r="AL7" s="6">
        <v>1177</v>
      </c>
      <c r="AM7" s="6" t="s">
        <v>193</v>
      </c>
      <c r="AN7" s="4" t="s">
        <v>455</v>
      </c>
      <c r="CT7" s="15">
        <v>0</v>
      </c>
      <c r="CU7" s="15">
        <v>0</v>
      </c>
      <c r="CV7" s="15">
        <v>0</v>
      </c>
      <c r="CW7" s="15">
        <v>0</v>
      </c>
      <c r="CX7" s="15">
        <v>0</v>
      </c>
      <c r="CY7" s="15">
        <v>0</v>
      </c>
      <c r="CZ7" s="15">
        <v>0</v>
      </c>
      <c r="DA7" s="15">
        <v>0</v>
      </c>
      <c r="DB7" s="15">
        <v>0</v>
      </c>
      <c r="DC7" s="15">
        <v>0</v>
      </c>
      <c r="DD7" s="15">
        <v>0</v>
      </c>
      <c r="DE7" s="15">
        <v>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6">
        <v>0</v>
      </c>
      <c r="DO7" s="16">
        <v>0</v>
      </c>
      <c r="DP7" s="16">
        <v>0</v>
      </c>
      <c r="DQ7" s="16">
        <v>0</v>
      </c>
      <c r="DS7" s="16">
        <v>0</v>
      </c>
      <c r="DT7" s="16">
        <v>0</v>
      </c>
      <c r="DU7" s="16">
        <v>0</v>
      </c>
      <c r="DV7" s="16">
        <v>100</v>
      </c>
      <c r="EK7"/>
      <c r="EL7"/>
      <c r="EM7"/>
      <c r="EN7"/>
      <c r="EO7"/>
      <c r="EP7"/>
      <c r="EQ7"/>
      <c r="ER7" s="65">
        <v>24565.929999999997</v>
      </c>
      <c r="ES7" s="6">
        <v>65647.636666666673</v>
      </c>
      <c r="ET7" s="6">
        <v>10878.029999999999</v>
      </c>
      <c r="EU7" s="6">
        <v>2173.81</v>
      </c>
      <c r="EV7" s="6">
        <v>4517.5733333333328</v>
      </c>
      <c r="FB7" s="6">
        <v>0</v>
      </c>
      <c r="FC7" s="6">
        <v>0</v>
      </c>
      <c r="FD7" s="6">
        <v>0</v>
      </c>
      <c r="FE7" s="6">
        <v>0</v>
      </c>
      <c r="FF7" s="6">
        <v>0</v>
      </c>
      <c r="FG7" s="6">
        <v>0</v>
      </c>
      <c r="FH7" s="6">
        <v>0</v>
      </c>
      <c r="FI7" s="6">
        <v>8.7301587301587321E-3</v>
      </c>
      <c r="FJ7" s="66">
        <v>0</v>
      </c>
      <c r="FK7" s="66">
        <v>0</v>
      </c>
      <c r="FL7" s="66">
        <v>1.3738011695906431E-2</v>
      </c>
      <c r="FM7" s="66">
        <v>1.8928735632183911E-2</v>
      </c>
      <c r="FN7" s="66">
        <v>0</v>
      </c>
      <c r="FO7" s="66">
        <v>0</v>
      </c>
      <c r="FP7" s="6">
        <v>0</v>
      </c>
      <c r="FQ7" s="6">
        <v>0</v>
      </c>
      <c r="FR7" s="66">
        <v>0</v>
      </c>
      <c r="FS7" s="6">
        <v>0</v>
      </c>
      <c r="FT7" s="6">
        <v>2.5749999999999999E-2</v>
      </c>
      <c r="FU7" s="6">
        <v>0</v>
      </c>
      <c r="FV7" s="6">
        <v>0</v>
      </c>
      <c r="FW7" s="6">
        <v>0</v>
      </c>
      <c r="FX7" s="6">
        <v>0</v>
      </c>
      <c r="FY7" s="6">
        <v>0</v>
      </c>
      <c r="FZ7" s="66">
        <v>0</v>
      </c>
      <c r="GA7" s="6">
        <v>0</v>
      </c>
      <c r="GB7" s="6">
        <v>0</v>
      </c>
      <c r="GC7" s="6">
        <v>0</v>
      </c>
      <c r="GD7"/>
    </row>
    <row r="8" spans="1:186" s="26" customFormat="1" x14ac:dyDescent="0.2">
      <c r="A8" s="68" t="s">
        <v>743</v>
      </c>
      <c r="B8" s="26" t="s">
        <v>174</v>
      </c>
      <c r="C8" s="26" t="s">
        <v>145</v>
      </c>
      <c r="D8" s="26" t="s">
        <v>255</v>
      </c>
      <c r="F8" s="26">
        <v>300329</v>
      </c>
      <c r="G8" s="26">
        <v>1</v>
      </c>
      <c r="H8" s="26">
        <v>1</v>
      </c>
      <c r="I8" s="26">
        <v>1</v>
      </c>
      <c r="J8" s="26">
        <v>1</v>
      </c>
      <c r="L8" s="26" t="s">
        <v>513</v>
      </c>
      <c r="M8" s="26" t="s">
        <v>744</v>
      </c>
      <c r="N8" s="26" t="s">
        <v>473</v>
      </c>
      <c r="O8" s="26" t="s">
        <v>671</v>
      </c>
      <c r="P8" s="26" t="s">
        <v>672</v>
      </c>
      <c r="T8" s="39">
        <v>5.3140505950675694</v>
      </c>
      <c r="U8" s="39">
        <v>5.348919119350823</v>
      </c>
      <c r="V8" s="39">
        <v>5.8212129075643686</v>
      </c>
      <c r="W8" s="39">
        <v>5.8313277569434412</v>
      </c>
      <c r="X8" s="39">
        <v>1.3150065892168928E-2</v>
      </c>
      <c r="Y8" s="39">
        <v>8.165937850092321E-2</v>
      </c>
      <c r="Z8" s="69">
        <v>151</v>
      </c>
      <c r="AA8" s="69"/>
      <c r="AB8" s="70"/>
      <c r="AC8" s="70"/>
      <c r="AD8" s="71"/>
      <c r="AE8" s="72"/>
      <c r="AF8" s="72"/>
      <c r="AG8" s="26" t="s">
        <v>510</v>
      </c>
      <c r="AH8" s="26" t="s">
        <v>511</v>
      </c>
      <c r="AI8" s="27">
        <v>300329</v>
      </c>
      <c r="AJ8" s="28" t="s">
        <v>145</v>
      </c>
      <c r="AK8" s="28" t="s">
        <v>473</v>
      </c>
      <c r="AL8" s="26">
        <v>2324</v>
      </c>
      <c r="AM8" s="26" t="s">
        <v>246</v>
      </c>
      <c r="EB8" s="29">
        <v>0</v>
      </c>
      <c r="EC8" s="29">
        <v>0</v>
      </c>
      <c r="ED8" s="29">
        <v>0</v>
      </c>
      <c r="EE8" s="29">
        <v>0</v>
      </c>
      <c r="EF8" s="29"/>
      <c r="EG8" s="29"/>
      <c r="EH8" s="29"/>
      <c r="EI8" s="29"/>
      <c r="EK8" s="108">
        <v>1.67</v>
      </c>
      <c r="EL8" s="108">
        <v>1.67</v>
      </c>
      <c r="EM8" s="108">
        <v>1.67</v>
      </c>
      <c r="EN8" s="108">
        <v>1.67</v>
      </c>
      <c r="EO8" s="108">
        <v>1.67</v>
      </c>
      <c r="EP8" s="108"/>
      <c r="EQ8" s="108"/>
      <c r="ER8" s="73">
        <v>3989.8500000000004</v>
      </c>
      <c r="ES8" s="26">
        <v>3512.818888888889</v>
      </c>
      <c r="ET8" s="26">
        <v>0</v>
      </c>
      <c r="EU8" s="26">
        <v>0</v>
      </c>
      <c r="EV8" s="26">
        <v>0</v>
      </c>
      <c r="FC8" s="30"/>
      <c r="GD8"/>
    </row>
    <row r="9" spans="1:186" s="26" customFormat="1" x14ac:dyDescent="0.2">
      <c r="A9" s="68" t="s">
        <v>683</v>
      </c>
      <c r="B9" s="26" t="s">
        <v>131</v>
      </c>
      <c r="C9" s="26" t="s">
        <v>17</v>
      </c>
      <c r="D9" s="26" t="s">
        <v>255</v>
      </c>
      <c r="F9" s="26">
        <v>247</v>
      </c>
      <c r="G9" s="26">
        <v>1</v>
      </c>
      <c r="H9" s="26">
        <v>1</v>
      </c>
      <c r="I9" s="26">
        <v>1</v>
      </c>
      <c r="J9" s="26">
        <v>1</v>
      </c>
      <c r="L9" s="26" t="s">
        <v>684</v>
      </c>
      <c r="M9" s="26" t="s">
        <v>685</v>
      </c>
      <c r="N9" s="26" t="s">
        <v>427</v>
      </c>
      <c r="O9" s="26" t="s">
        <v>678</v>
      </c>
      <c r="P9" s="26" t="s">
        <v>679</v>
      </c>
      <c r="T9" s="39">
        <v>81.83617470670994</v>
      </c>
      <c r="U9" s="39">
        <v>66.258521854647029</v>
      </c>
      <c r="V9" s="39">
        <v>10000</v>
      </c>
      <c r="W9" s="39">
        <v>10000</v>
      </c>
      <c r="X9" s="39">
        <v>3.3707650369583245E-2</v>
      </c>
      <c r="Y9" s="39">
        <v>7.1707703424986433E-2</v>
      </c>
      <c r="Z9" s="69">
        <v>18</v>
      </c>
      <c r="AA9" s="69"/>
      <c r="AB9" s="70"/>
      <c r="AC9" s="70"/>
      <c r="AD9" s="71"/>
      <c r="AE9" s="72"/>
      <c r="AF9" s="72"/>
      <c r="AG9" s="26" t="s">
        <v>16</v>
      </c>
      <c r="AH9" s="26" t="s">
        <v>434</v>
      </c>
      <c r="AI9" s="31">
        <v>247</v>
      </c>
      <c r="AJ9" s="28" t="s">
        <v>17</v>
      </c>
      <c r="AK9" s="28" t="s">
        <v>427</v>
      </c>
      <c r="AL9" s="26">
        <v>1031</v>
      </c>
      <c r="AM9" s="26" t="s">
        <v>246</v>
      </c>
      <c r="AO9" s="32">
        <v>0</v>
      </c>
      <c r="AP9" s="32">
        <v>0</v>
      </c>
      <c r="AQ9" s="32">
        <v>352.7</v>
      </c>
      <c r="AR9" s="32">
        <v>443.6</v>
      </c>
      <c r="AS9" s="32">
        <v>1434.76</v>
      </c>
      <c r="AT9" s="32">
        <v>238.97</v>
      </c>
      <c r="AU9" s="32">
        <v>71.06</v>
      </c>
      <c r="AV9" s="32">
        <v>887.43</v>
      </c>
      <c r="AW9" s="32">
        <v>641.64</v>
      </c>
      <c r="AX9" s="32">
        <v>726.55</v>
      </c>
      <c r="AY9" s="32">
        <v>726.55</v>
      </c>
      <c r="AZ9" s="32">
        <v>37.04</v>
      </c>
      <c r="BA9" s="33">
        <v>61.5054394</v>
      </c>
      <c r="BB9" s="33">
        <v>25.646572799999998</v>
      </c>
      <c r="BC9" s="33">
        <v>236.54273119999996</v>
      </c>
      <c r="BD9" s="33">
        <v>276.07691439999996</v>
      </c>
      <c r="BE9" s="33">
        <v>561.67521959999988</v>
      </c>
      <c r="BF9" s="33">
        <v>138.39487320000001</v>
      </c>
      <c r="BG9" s="33">
        <v>62.998549999999994</v>
      </c>
      <c r="BH9" s="33">
        <v>343.35636920000002</v>
      </c>
      <c r="BI9" s="33">
        <v>333.32258939999997</v>
      </c>
      <c r="BJ9" s="33">
        <v>361.73204520000002</v>
      </c>
      <c r="BK9" s="33">
        <v>379.56686400000001</v>
      </c>
      <c r="BL9" s="33">
        <v>319.66363200000001</v>
      </c>
      <c r="BM9" s="33">
        <v>49.617561600000002</v>
      </c>
      <c r="BN9" s="34">
        <v>38.077614400000002</v>
      </c>
      <c r="BO9" s="34">
        <v>27.540117399999996</v>
      </c>
      <c r="BP9" s="34">
        <v>171.47996999999998</v>
      </c>
      <c r="BQ9" s="34">
        <v>231.42928319999999</v>
      </c>
      <c r="BR9" s="34">
        <v>679.5213516</v>
      </c>
      <c r="BS9" s="34">
        <v>115.15986000000001</v>
      </c>
      <c r="BT9" s="34">
        <v>349.04327399999994</v>
      </c>
      <c r="BU9" s="34">
        <v>235.61473699999996</v>
      </c>
      <c r="BV9" s="34">
        <v>43.877426199999995</v>
      </c>
      <c r="BW9" s="34">
        <v>35.974140399999996</v>
      </c>
      <c r="BX9" s="34">
        <v>60.149728799999998</v>
      </c>
      <c r="BY9" s="34">
        <v>199.38327659999999</v>
      </c>
      <c r="BZ9" s="34">
        <v>302.46286419999996</v>
      </c>
      <c r="CA9" s="34">
        <v>98.564646999999994</v>
      </c>
      <c r="CB9" s="34">
        <v>329.70655439999996</v>
      </c>
      <c r="CC9" s="34">
        <v>264.12080880000002</v>
      </c>
      <c r="CD9" s="34">
        <v>55.079599000000002</v>
      </c>
      <c r="CE9" s="34">
        <v>83.071078199999988</v>
      </c>
      <c r="CF9" s="34">
        <v>0</v>
      </c>
      <c r="CG9" s="34">
        <v>297.57089880000001</v>
      </c>
      <c r="CH9" s="34">
        <v>337.5498068</v>
      </c>
      <c r="CI9" s="34">
        <v>1396.818053</v>
      </c>
      <c r="CJ9" s="34">
        <v>130.31434239999999</v>
      </c>
      <c r="CK9" s="34">
        <v>304.13030960000003</v>
      </c>
      <c r="CL9" s="34">
        <v>34.839636600000006</v>
      </c>
      <c r="CM9" s="34">
        <v>16.930166399999997</v>
      </c>
      <c r="CN9" s="34">
        <v>99.719487999999998</v>
      </c>
      <c r="CO9" s="34">
        <v>86.492058400000005</v>
      </c>
      <c r="CP9" s="34">
        <v>37.697759999999995</v>
      </c>
      <c r="CQ9" s="34">
        <v>191.765682</v>
      </c>
      <c r="CR9" s="34">
        <v>45.657262200000005</v>
      </c>
      <c r="CS9" s="34">
        <v>46.368248800000003</v>
      </c>
      <c r="CT9" s="35">
        <v>11.42667</v>
      </c>
      <c r="CU9" s="35">
        <v>82.577040400000001</v>
      </c>
      <c r="CV9" s="35">
        <v>74.179394999999985</v>
      </c>
      <c r="CW9" s="35">
        <v>24.819899200000002</v>
      </c>
      <c r="CX9" s="35">
        <v>0</v>
      </c>
      <c r="CY9" s="35">
        <v>70.054432200000008</v>
      </c>
      <c r="CZ9" s="35">
        <v>0</v>
      </c>
      <c r="DA9" s="35">
        <v>0</v>
      </c>
      <c r="DB9" s="35">
        <v>34.868201999999997</v>
      </c>
      <c r="DC9" s="35">
        <v>141.33243379999999</v>
      </c>
      <c r="DD9" s="35">
        <v>117.45091679999997</v>
      </c>
      <c r="DE9" s="35">
        <v>0</v>
      </c>
      <c r="DF9" s="35">
        <v>336.150848</v>
      </c>
      <c r="DG9" s="35">
        <v>300.6983664</v>
      </c>
      <c r="DH9" s="35">
        <v>67.572542400000003</v>
      </c>
      <c r="DI9" s="35">
        <v>184.3039584</v>
      </c>
      <c r="DJ9" s="35">
        <v>137.26983639999997</v>
      </c>
      <c r="DK9" s="35">
        <v>0</v>
      </c>
      <c r="DL9" s="35">
        <v>70.438410000000005</v>
      </c>
      <c r="DM9" s="35">
        <v>103.074592</v>
      </c>
      <c r="DN9" s="35">
        <v>0</v>
      </c>
      <c r="DO9" s="35">
        <v>113.74260240000001</v>
      </c>
      <c r="DP9" s="35">
        <v>33.713408000000008</v>
      </c>
      <c r="DQ9" s="35">
        <v>0</v>
      </c>
      <c r="DR9" s="35">
        <v>278.62222800000001</v>
      </c>
      <c r="DS9" s="35">
        <v>0</v>
      </c>
      <c r="DT9" s="35">
        <v>62.470594999999996</v>
      </c>
      <c r="DU9" s="35">
        <v>297.21482500000002</v>
      </c>
      <c r="DV9" s="35">
        <v>64.891467599999999</v>
      </c>
      <c r="DW9" s="36">
        <v>74</v>
      </c>
      <c r="DX9" s="36">
        <v>80</v>
      </c>
      <c r="DY9" s="36">
        <v>200</v>
      </c>
      <c r="DZ9" s="36">
        <v>130</v>
      </c>
      <c r="EA9" s="36">
        <v>71</v>
      </c>
      <c r="EB9" s="29">
        <v>228</v>
      </c>
      <c r="EC9" s="29">
        <v>821</v>
      </c>
      <c r="ED9" s="29">
        <v>125</v>
      </c>
      <c r="EE9" s="29">
        <v>91.4</v>
      </c>
      <c r="EF9" s="30">
        <v>2001</v>
      </c>
      <c r="EG9" s="26">
        <v>0</v>
      </c>
      <c r="EH9" s="26">
        <v>0</v>
      </c>
      <c r="EI9" s="26">
        <v>0</v>
      </c>
      <c r="EJ9" s="26">
        <v>0</v>
      </c>
      <c r="EK9" s="108">
        <v>1160</v>
      </c>
      <c r="EL9" s="108">
        <v>1.05</v>
      </c>
      <c r="EM9" s="108">
        <v>1.05</v>
      </c>
      <c r="EN9" s="108">
        <v>1.05</v>
      </c>
      <c r="EO9" s="108">
        <v>1.05</v>
      </c>
      <c r="EP9" s="108"/>
      <c r="EQ9" s="108"/>
      <c r="ER9" s="73">
        <v>18587.183333333334</v>
      </c>
      <c r="ES9" s="30">
        <v>14626.6</v>
      </c>
      <c r="ET9" s="26">
        <v>258.75</v>
      </c>
      <c r="EU9" s="26">
        <v>7532.82</v>
      </c>
      <c r="EV9" s="26">
        <v>5503.8266666666668</v>
      </c>
      <c r="FB9" s="30">
        <v>0</v>
      </c>
      <c r="FC9" s="30">
        <v>0.48541548666666662</v>
      </c>
      <c r="FD9" s="26">
        <v>0.12049841809523809</v>
      </c>
      <c r="FE9" s="26">
        <v>7.4975984999999995E-2</v>
      </c>
      <c r="FF9" s="26">
        <v>0</v>
      </c>
      <c r="FG9" s="26">
        <v>378.13987350857144</v>
      </c>
      <c r="FH9" s="26">
        <v>0.48313010476190466</v>
      </c>
      <c r="FI9" s="26">
        <v>0.1239270114285714</v>
      </c>
      <c r="FJ9" s="74">
        <v>0</v>
      </c>
      <c r="FK9" s="74">
        <v>176.41369611820386</v>
      </c>
      <c r="FL9" s="74">
        <v>0</v>
      </c>
      <c r="FM9" s="74">
        <v>0</v>
      </c>
      <c r="FN9" s="74">
        <v>0</v>
      </c>
      <c r="FO9" s="74">
        <v>202.75529444444444</v>
      </c>
      <c r="FP9" s="26">
        <v>0</v>
      </c>
      <c r="FQ9" s="26">
        <v>0</v>
      </c>
      <c r="FR9" s="74">
        <v>0</v>
      </c>
      <c r="FS9" s="26">
        <v>428.44840740740744</v>
      </c>
      <c r="FT9" s="26">
        <v>0</v>
      </c>
      <c r="FU9" s="26">
        <v>0</v>
      </c>
      <c r="FV9" s="26">
        <v>0</v>
      </c>
      <c r="FW9" s="26">
        <v>7.6841944444444437</v>
      </c>
      <c r="FX9" s="26">
        <v>0</v>
      </c>
      <c r="FY9" s="26">
        <v>0</v>
      </c>
      <c r="FZ9" s="74">
        <v>0</v>
      </c>
      <c r="GA9" s="26">
        <v>1.6204999999999996</v>
      </c>
      <c r="GB9" s="26">
        <v>0</v>
      </c>
      <c r="GC9" s="26">
        <v>0</v>
      </c>
      <c r="GD9"/>
    </row>
    <row r="10" spans="1:186" s="6" customFormat="1" x14ac:dyDescent="0.2">
      <c r="A10" s="60" t="s">
        <v>871</v>
      </c>
      <c r="B10" s="6" t="s">
        <v>872</v>
      </c>
      <c r="C10" s="6" t="s">
        <v>508</v>
      </c>
      <c r="D10" s="6" t="s">
        <v>873</v>
      </c>
      <c r="F10" s="6">
        <v>303252</v>
      </c>
      <c r="H10" s="6">
        <v>1</v>
      </c>
      <c r="I10" s="6">
        <v>1</v>
      </c>
      <c r="J10" s="6">
        <v>1</v>
      </c>
      <c r="L10" s="6" t="s">
        <v>509</v>
      </c>
      <c r="M10" s="6" t="s">
        <v>874</v>
      </c>
      <c r="N10" s="6" t="s">
        <v>270</v>
      </c>
      <c r="O10" s="6" t="s">
        <v>671</v>
      </c>
      <c r="P10" s="6" t="s">
        <v>672</v>
      </c>
      <c r="S10" s="6">
        <v>1</v>
      </c>
      <c r="T10">
        <v>10000</v>
      </c>
      <c r="U10">
        <v>49.375292050211122</v>
      </c>
      <c r="V10">
        <v>10000</v>
      </c>
      <c r="W10">
        <v>74.167783078997303</v>
      </c>
      <c r="X10">
        <v>4.3524245185683826E-2</v>
      </c>
      <c r="Y10">
        <v>6.7788827124425396E-2</v>
      </c>
      <c r="Z10" s="64">
        <v>12</v>
      </c>
      <c r="AA10" s="64"/>
      <c r="AB10" s="61"/>
      <c r="AC10" s="61"/>
      <c r="AD10" s="62"/>
      <c r="AE10" s="63"/>
      <c r="AF10" s="63"/>
      <c r="AG10" s="6" t="s">
        <v>506</v>
      </c>
      <c r="AH10" s="6" t="s">
        <v>507</v>
      </c>
      <c r="AI10" s="2"/>
      <c r="AJ10" s="3" t="s">
        <v>508</v>
      </c>
      <c r="AK10" s="3" t="s">
        <v>270</v>
      </c>
      <c r="AL10" s="6">
        <v>1967</v>
      </c>
      <c r="AM10" s="6" t="s">
        <v>193</v>
      </c>
      <c r="EB10" s="15"/>
      <c r="EC10" s="15"/>
      <c r="ED10" s="15"/>
      <c r="EE10" s="15"/>
      <c r="EF10" s="15"/>
      <c r="EG10" s="15"/>
      <c r="EH10" s="15"/>
      <c r="EI10" s="15"/>
      <c r="EK10"/>
      <c r="EL10"/>
      <c r="EM10"/>
      <c r="EN10"/>
      <c r="EO10"/>
      <c r="EP10"/>
      <c r="EQ10"/>
      <c r="FB10" s="6">
        <v>0</v>
      </c>
      <c r="FC10" s="6">
        <v>2.7821428571428563E-2</v>
      </c>
      <c r="FD10" s="6">
        <v>0</v>
      </c>
      <c r="FE10" s="6">
        <v>0</v>
      </c>
      <c r="FF10" s="6">
        <v>0</v>
      </c>
      <c r="FG10" s="6">
        <v>5.6249999999999994E-2</v>
      </c>
      <c r="FH10" s="6">
        <v>0.42901190476190476</v>
      </c>
      <c r="FI10" s="6">
        <v>0</v>
      </c>
      <c r="FJ10" s="66">
        <v>0</v>
      </c>
      <c r="FK10" s="66">
        <v>0</v>
      </c>
      <c r="FL10" s="66">
        <v>0.1071671826625387</v>
      </c>
      <c r="FM10" s="66">
        <v>4.389379507835868E-2</v>
      </c>
      <c r="FN10" s="66">
        <v>0</v>
      </c>
      <c r="FO10" s="66">
        <v>0</v>
      </c>
      <c r="FP10" s="6">
        <v>0</v>
      </c>
      <c r="FQ10" s="6">
        <v>0</v>
      </c>
      <c r="FR10" s="66">
        <v>0</v>
      </c>
      <c r="FS10" s="6">
        <v>0</v>
      </c>
      <c r="FT10" s="6">
        <v>0</v>
      </c>
      <c r="FU10" s="6">
        <v>0</v>
      </c>
      <c r="FV10" s="6">
        <v>0</v>
      </c>
      <c r="FW10" s="6">
        <v>0</v>
      </c>
      <c r="FX10" s="6">
        <v>0</v>
      </c>
      <c r="FY10" s="6">
        <v>0</v>
      </c>
      <c r="FZ10" s="66">
        <v>0</v>
      </c>
      <c r="GA10" s="6">
        <v>0</v>
      </c>
      <c r="GB10" s="6">
        <v>0</v>
      </c>
      <c r="GC10" s="6">
        <v>0</v>
      </c>
      <c r="GD10"/>
    </row>
    <row r="11" spans="1:186" s="6" customFormat="1" x14ac:dyDescent="0.2">
      <c r="A11" s="60" t="s">
        <v>712</v>
      </c>
      <c r="B11" s="6" t="s">
        <v>403</v>
      </c>
      <c r="C11" s="6" t="s">
        <v>405</v>
      </c>
      <c r="D11" s="6" t="s">
        <v>876</v>
      </c>
      <c r="I11" s="6">
        <v>1</v>
      </c>
      <c r="L11" s="6" t="s">
        <v>399</v>
      </c>
      <c r="M11" s="6" t="s">
        <v>1000</v>
      </c>
      <c r="N11" s="6" t="s">
        <v>201</v>
      </c>
      <c r="O11" s="6" t="s">
        <v>671</v>
      </c>
      <c r="P11" s="6" t="s">
        <v>672</v>
      </c>
      <c r="T11">
        <v>51.802801395904652</v>
      </c>
      <c r="U11">
        <v>48.51649500226241</v>
      </c>
      <c r="V11">
        <v>113.90520520101697</v>
      </c>
      <c r="W11">
        <v>80.613515735541839</v>
      </c>
      <c r="X11">
        <v>5.6779725321759844E-2</v>
      </c>
      <c r="Y11">
        <v>6.398358890140815E-2</v>
      </c>
      <c r="Z11"/>
      <c r="AA11"/>
      <c r="AB11" s="61"/>
      <c r="AC11" s="61"/>
      <c r="AD11" s="62"/>
      <c r="AE11" s="63"/>
      <c r="AF11" s="63"/>
      <c r="AG11" s="6" t="s">
        <v>403</v>
      </c>
      <c r="AH11" s="6" t="s">
        <v>404</v>
      </c>
      <c r="AI11" s="2"/>
      <c r="AJ11" s="3" t="s">
        <v>405</v>
      </c>
      <c r="AK11" s="3" t="s">
        <v>201</v>
      </c>
      <c r="AL11" s="6">
        <v>769</v>
      </c>
      <c r="DW11" s="15"/>
      <c r="DX11" s="15"/>
      <c r="DY11" s="15"/>
      <c r="DZ11" s="15"/>
      <c r="EA11" s="15"/>
      <c r="EB11" s="19"/>
      <c r="EC11" s="19"/>
      <c r="ED11" s="19"/>
      <c r="EE11" s="19"/>
      <c r="EF11" s="19"/>
      <c r="EG11" s="19"/>
      <c r="EH11" s="19"/>
      <c r="EI11" s="19"/>
      <c r="EJ11" s="15"/>
      <c r="EK11"/>
      <c r="EL11"/>
      <c r="EM11"/>
      <c r="EN11"/>
      <c r="EO11"/>
      <c r="EP11"/>
      <c r="EQ11"/>
      <c r="GD11"/>
    </row>
    <row r="12" spans="1:186" s="26" customFormat="1" x14ac:dyDescent="0.2">
      <c r="A12" s="68" t="s">
        <v>726</v>
      </c>
      <c r="B12" s="26" t="s">
        <v>128</v>
      </c>
      <c r="C12" s="26" t="s">
        <v>44</v>
      </c>
      <c r="D12" s="26" t="s">
        <v>664</v>
      </c>
      <c r="F12" s="26">
        <v>678</v>
      </c>
      <c r="G12" s="26">
        <v>1</v>
      </c>
      <c r="H12" s="26">
        <v>1</v>
      </c>
      <c r="I12" s="26">
        <v>1</v>
      </c>
      <c r="J12" s="26">
        <v>1</v>
      </c>
      <c r="L12" s="26" t="s">
        <v>727</v>
      </c>
      <c r="M12" s="26" t="s">
        <v>728</v>
      </c>
      <c r="N12" s="26" t="s">
        <v>427</v>
      </c>
      <c r="O12" s="26" t="s">
        <v>678</v>
      </c>
      <c r="P12" s="26" t="s">
        <v>679</v>
      </c>
      <c r="T12" s="39">
        <v>53.252317114728186</v>
      </c>
      <c r="U12" s="39">
        <v>29.111582607204479</v>
      </c>
      <c r="V12" s="39">
        <v>306.17576158474594</v>
      </c>
      <c r="W12" s="39">
        <v>46.026666237988572</v>
      </c>
      <c r="X12" s="39">
        <v>0.1159184788433919</v>
      </c>
      <c r="Y12" s="39">
        <v>0.23103210639995733</v>
      </c>
      <c r="Z12" s="69">
        <v>7</v>
      </c>
      <c r="AA12" s="69"/>
      <c r="AB12" s="56">
        <v>0.03</v>
      </c>
      <c r="AC12" s="57">
        <v>0.03</v>
      </c>
      <c r="AD12" s="58">
        <v>1.59</v>
      </c>
      <c r="AE12" s="58">
        <v>24.6</v>
      </c>
      <c r="AF12" s="58">
        <v>13.5</v>
      </c>
      <c r="AG12" s="26" t="s">
        <v>43</v>
      </c>
      <c r="AH12" s="26" t="s">
        <v>523</v>
      </c>
      <c r="AI12" s="31">
        <v>678</v>
      </c>
      <c r="AJ12" s="28" t="s">
        <v>44</v>
      </c>
      <c r="AK12" s="28" t="s">
        <v>427</v>
      </c>
      <c r="AL12" s="26">
        <v>2739</v>
      </c>
      <c r="AM12" s="26" t="s">
        <v>246</v>
      </c>
      <c r="AO12" s="32">
        <v>1886.91</v>
      </c>
      <c r="AP12" s="32">
        <v>479.96</v>
      </c>
      <c r="AQ12" s="32">
        <v>7575.29</v>
      </c>
      <c r="AR12" s="32">
        <v>10643.84</v>
      </c>
      <c r="AS12" s="32">
        <v>18895.07</v>
      </c>
      <c r="AT12" s="32">
        <v>4658.13</v>
      </c>
      <c r="AU12" s="32">
        <v>1332.21</v>
      </c>
      <c r="AV12" s="32">
        <v>13216.12</v>
      </c>
      <c r="AW12" s="32">
        <v>9913.86</v>
      </c>
      <c r="AX12" s="32">
        <v>11943.03</v>
      </c>
      <c r="AY12" s="32">
        <v>11943.03</v>
      </c>
      <c r="AZ12" s="32">
        <v>687.56</v>
      </c>
      <c r="BA12" s="33">
        <v>1497.0348540000002</v>
      </c>
      <c r="BB12" s="33">
        <v>380.36239079999996</v>
      </c>
      <c r="BC12" s="33">
        <v>3599.5379687999998</v>
      </c>
      <c r="BD12" s="33">
        <v>4536.4387839999999</v>
      </c>
      <c r="BE12" s="33">
        <v>7046.9751176</v>
      </c>
      <c r="BF12" s="33">
        <v>1962.1604964000001</v>
      </c>
      <c r="BG12" s="33">
        <v>918.1764983999999</v>
      </c>
      <c r="BH12" s="33">
        <v>5244.7577199999996</v>
      </c>
      <c r="BI12" s="33">
        <v>4661.4951863999995</v>
      </c>
      <c r="BJ12" s="33">
        <v>5511.8475743999998</v>
      </c>
      <c r="BK12" s="33">
        <v>5208.3624875999994</v>
      </c>
      <c r="BL12" s="33">
        <v>4556.2562600000001</v>
      </c>
      <c r="BM12" s="33">
        <v>477.28525680000007</v>
      </c>
      <c r="BN12" s="34">
        <v>1064.044124</v>
      </c>
      <c r="BO12" s="34">
        <v>502.99800599999992</v>
      </c>
      <c r="BP12" s="34">
        <v>4890.7409194000002</v>
      </c>
      <c r="BQ12" s="34">
        <v>8649.2974656000006</v>
      </c>
      <c r="BR12" s="34">
        <v>13950.316666000001</v>
      </c>
      <c r="BS12" s="34">
        <v>2336.9421107999997</v>
      </c>
      <c r="BT12" s="34">
        <v>8809.4345849999991</v>
      </c>
      <c r="BU12" s="34">
        <v>6309.6440633999991</v>
      </c>
      <c r="BV12" s="34">
        <v>1092.5896464</v>
      </c>
      <c r="BW12" s="34">
        <v>1745.1485375999998</v>
      </c>
      <c r="BX12" s="34">
        <v>2738.6040419999999</v>
      </c>
      <c r="BY12" s="34">
        <v>10469.085498</v>
      </c>
      <c r="BZ12" s="34">
        <v>16143.355350400003</v>
      </c>
      <c r="CA12" s="34">
        <v>3381.6081870000003</v>
      </c>
      <c r="CB12" s="34">
        <v>12408.021312000001</v>
      </c>
      <c r="CC12" s="34">
        <v>8337.0125466000009</v>
      </c>
      <c r="CD12" s="34">
        <v>1328.7562499999999</v>
      </c>
      <c r="CE12" s="34">
        <v>3437.5553411999995</v>
      </c>
      <c r="CF12" s="34">
        <v>560.76536460000011</v>
      </c>
      <c r="CG12" s="34">
        <v>9966.0510280000017</v>
      </c>
      <c r="CH12" s="34">
        <v>12413.43851</v>
      </c>
      <c r="CI12" s="34">
        <v>36642.7057728</v>
      </c>
      <c r="CJ12" s="34">
        <v>2497.0636320000003</v>
      </c>
      <c r="CK12" s="34">
        <v>6674.7736369999993</v>
      </c>
      <c r="CL12" s="34">
        <v>1035.0293939999999</v>
      </c>
      <c r="CM12" s="34">
        <v>378.34663740000002</v>
      </c>
      <c r="CN12" s="34">
        <v>2443.7253439999995</v>
      </c>
      <c r="CO12" s="34">
        <v>3292.3866865999998</v>
      </c>
      <c r="CP12" s="34">
        <v>592.57804999999996</v>
      </c>
      <c r="CQ12" s="34">
        <v>4415.4324970000007</v>
      </c>
      <c r="CR12" s="34">
        <v>1648.5288195999997</v>
      </c>
      <c r="CS12" s="34">
        <v>467.71213460000007</v>
      </c>
      <c r="CT12" s="35">
        <v>47.443099600000004</v>
      </c>
      <c r="CU12" s="35">
        <v>548.02670999999998</v>
      </c>
      <c r="CV12" s="35">
        <v>679.42703359999996</v>
      </c>
      <c r="CW12" s="35">
        <v>129.1676544</v>
      </c>
      <c r="CX12" s="35">
        <v>102.92282000000002</v>
      </c>
      <c r="CY12" s="35">
        <v>342.81209039999999</v>
      </c>
      <c r="CZ12" s="35">
        <v>440.58669900000001</v>
      </c>
      <c r="DA12" s="35">
        <v>3131.3461269999998</v>
      </c>
      <c r="DB12" s="35">
        <v>427.101336</v>
      </c>
      <c r="DC12" s="35">
        <v>1767.8643904</v>
      </c>
      <c r="DD12" s="35">
        <v>2370.0027810000001</v>
      </c>
      <c r="DE12" s="35">
        <v>25661.023875000003</v>
      </c>
      <c r="DF12" s="35">
        <v>3063.4423409999999</v>
      </c>
      <c r="DG12" s="35">
        <v>2386.5310816000001</v>
      </c>
      <c r="DH12" s="35">
        <v>818.76517379999996</v>
      </c>
      <c r="DI12" s="35">
        <v>2466.2531250000002</v>
      </c>
      <c r="DJ12" s="35">
        <v>2487.0574907999994</v>
      </c>
      <c r="DK12" s="35">
        <v>1535.8331028000002</v>
      </c>
      <c r="DL12" s="35">
        <v>1042.7151120000001</v>
      </c>
      <c r="DM12" s="35">
        <v>1054.6837740000001</v>
      </c>
      <c r="DN12" s="35">
        <v>852.14732399999991</v>
      </c>
      <c r="DO12" s="35">
        <v>1260.1185306</v>
      </c>
      <c r="DP12" s="35">
        <v>231.84949979999996</v>
      </c>
      <c r="DQ12" s="35">
        <v>288.23223720000004</v>
      </c>
      <c r="DR12" s="35">
        <v>2881.3088579999999</v>
      </c>
      <c r="DS12" s="35">
        <v>589.06453620000002</v>
      </c>
      <c r="DT12" s="35">
        <v>1424.0028240000001</v>
      </c>
      <c r="DU12" s="35">
        <v>2377.7974387999998</v>
      </c>
      <c r="DV12" s="35">
        <v>432.82881819999994</v>
      </c>
      <c r="DW12" s="36">
        <v>410</v>
      </c>
      <c r="DX12" s="36">
        <v>520</v>
      </c>
      <c r="DY12" s="36">
        <v>2200</v>
      </c>
      <c r="DZ12" s="36">
        <v>1600</v>
      </c>
      <c r="EA12" s="36">
        <v>630</v>
      </c>
      <c r="EB12" s="29">
        <v>7020</v>
      </c>
      <c r="EC12" s="29">
        <v>18500</v>
      </c>
      <c r="ED12" s="29">
        <v>1760</v>
      </c>
      <c r="EE12" s="29">
        <v>1100</v>
      </c>
      <c r="EF12" s="30">
        <v>2001</v>
      </c>
      <c r="EG12" s="30">
        <v>495</v>
      </c>
      <c r="EH12" s="30">
        <v>495</v>
      </c>
      <c r="EI12" s="26">
        <v>495</v>
      </c>
      <c r="EJ12" s="26">
        <v>495</v>
      </c>
      <c r="EK12" s="108">
        <v>1930</v>
      </c>
      <c r="EL12" s="108">
        <v>148</v>
      </c>
      <c r="EM12" s="108">
        <v>334</v>
      </c>
      <c r="EN12" s="108">
        <v>298</v>
      </c>
      <c r="EO12" s="108">
        <v>363</v>
      </c>
      <c r="EP12" s="108"/>
      <c r="EQ12" s="110">
        <v>5400000</v>
      </c>
      <c r="ER12" s="73">
        <v>11271.32</v>
      </c>
      <c r="ES12" s="26">
        <v>30390.203333333335</v>
      </c>
      <c r="ET12" s="26">
        <v>161.33333333333334</v>
      </c>
      <c r="EU12" s="26">
        <v>17522.096666666665</v>
      </c>
      <c r="EV12" s="26">
        <v>7575.3933333333334</v>
      </c>
      <c r="FB12" s="26">
        <v>0</v>
      </c>
      <c r="FC12" s="26">
        <v>0.28678422658730157</v>
      </c>
      <c r="FD12" s="26">
        <v>0.10437705775132275</v>
      </c>
      <c r="FE12" s="26">
        <v>5.8349347142857139E-2</v>
      </c>
      <c r="FF12" s="26">
        <v>0</v>
      </c>
      <c r="FG12" s="26">
        <v>2548.8109646006351</v>
      </c>
      <c r="FH12" s="26">
        <v>0.3721943333333334</v>
      </c>
      <c r="FI12" s="26">
        <v>5.6985108571428578E-2</v>
      </c>
      <c r="FJ12" s="74">
        <v>0</v>
      </c>
      <c r="FK12" s="74">
        <v>390.0463301515332</v>
      </c>
      <c r="FL12" s="74">
        <v>0</v>
      </c>
      <c r="FM12" s="74">
        <v>0</v>
      </c>
      <c r="FN12" s="74">
        <v>0</v>
      </c>
      <c r="FO12" s="74">
        <v>1417.1846027777774</v>
      </c>
      <c r="FP12" s="26">
        <v>0</v>
      </c>
      <c r="FQ12" s="26">
        <v>0</v>
      </c>
      <c r="FR12" s="74">
        <v>0</v>
      </c>
      <c r="FS12" s="26">
        <v>6290.442425925924</v>
      </c>
      <c r="FT12" s="26">
        <v>0</v>
      </c>
      <c r="FU12" s="26">
        <v>0</v>
      </c>
      <c r="FV12" s="26">
        <v>0</v>
      </c>
      <c r="FW12" s="26">
        <v>458.82671111111125</v>
      </c>
      <c r="FX12" s="26">
        <v>0</v>
      </c>
      <c r="FY12" s="26">
        <v>0</v>
      </c>
      <c r="FZ12" s="74">
        <v>0</v>
      </c>
      <c r="GA12" s="26">
        <v>306.77466666666663</v>
      </c>
      <c r="GB12" s="26">
        <v>0</v>
      </c>
      <c r="GC12" s="26">
        <v>0</v>
      </c>
      <c r="GD12"/>
    </row>
    <row r="13" spans="1:186" s="6" customFormat="1" x14ac:dyDescent="0.2">
      <c r="A13" s="60" t="s">
        <v>1042</v>
      </c>
      <c r="B13" s="6" t="s">
        <v>590</v>
      </c>
      <c r="C13" s="6" t="s">
        <v>52</v>
      </c>
      <c r="D13" s="6" t="s">
        <v>805</v>
      </c>
      <c r="F13" s="6">
        <v>60</v>
      </c>
      <c r="H13" s="6">
        <v>1</v>
      </c>
      <c r="J13" s="6">
        <v>1</v>
      </c>
      <c r="L13" s="6" t="s">
        <v>876</v>
      </c>
      <c r="M13" s="6" t="s">
        <v>683</v>
      </c>
      <c r="N13" s="6" t="s">
        <v>192</v>
      </c>
      <c r="O13" s="6" t="s">
        <v>876</v>
      </c>
      <c r="P13" s="6" t="s">
        <v>876</v>
      </c>
      <c r="T13"/>
      <c r="U13"/>
      <c r="V13"/>
      <c r="W13"/>
      <c r="X13"/>
      <c r="Y13"/>
      <c r="Z13" s="64">
        <v>252</v>
      </c>
      <c r="AA13" s="64"/>
      <c r="AB13" s="61"/>
      <c r="AC13" s="61"/>
      <c r="AD13" s="62"/>
      <c r="AE13" s="63"/>
      <c r="AF13" s="63"/>
      <c r="AG13" s="7" t="s">
        <v>51</v>
      </c>
      <c r="AH13" s="7"/>
      <c r="AI13" s="7"/>
      <c r="AJ13" s="4" t="s">
        <v>52</v>
      </c>
      <c r="AK13" s="3" t="s">
        <v>192</v>
      </c>
      <c r="AM13" s="6" t="s">
        <v>193</v>
      </c>
      <c r="CT13" s="15">
        <v>0</v>
      </c>
      <c r="CU13" s="15">
        <v>0</v>
      </c>
      <c r="CV13" s="15">
        <v>0</v>
      </c>
      <c r="CW13" s="15">
        <v>0</v>
      </c>
      <c r="CX13" s="15">
        <v>0</v>
      </c>
      <c r="CY13" s="15">
        <v>0</v>
      </c>
      <c r="CZ13" s="15">
        <v>0</v>
      </c>
      <c r="DA13" s="15">
        <v>0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6">
        <v>0</v>
      </c>
      <c r="DO13" s="16">
        <v>0</v>
      </c>
      <c r="DP13" s="16">
        <v>0</v>
      </c>
      <c r="DQ13" s="16">
        <v>0</v>
      </c>
      <c r="DS13" s="16">
        <v>0</v>
      </c>
      <c r="DT13" s="16">
        <v>0</v>
      </c>
      <c r="DU13" s="16">
        <v>0</v>
      </c>
      <c r="DV13" s="16">
        <v>0</v>
      </c>
      <c r="EK13"/>
      <c r="EL13"/>
      <c r="EM13"/>
      <c r="EN13"/>
      <c r="EO13"/>
      <c r="EP13"/>
      <c r="EQ13"/>
      <c r="ER13" s="65">
        <v>2759.4433333333332</v>
      </c>
      <c r="ES13" s="6">
        <v>1500.5166666666667</v>
      </c>
      <c r="ET13" s="6">
        <v>1381.3700000000001</v>
      </c>
      <c r="EU13" s="6">
        <v>900.55000000000007</v>
      </c>
      <c r="EV13" s="6">
        <v>1426.7066666666667</v>
      </c>
      <c r="FB13" s="75"/>
      <c r="GD13"/>
    </row>
    <row r="14" spans="1:186" s="6" customFormat="1" x14ac:dyDescent="0.2">
      <c r="A14" s="60" t="s">
        <v>906</v>
      </c>
      <c r="B14" s="6" t="s">
        <v>626</v>
      </c>
      <c r="C14" s="6" t="s">
        <v>299</v>
      </c>
      <c r="D14" s="6" t="s">
        <v>876</v>
      </c>
      <c r="E14" s="6" t="s">
        <v>336</v>
      </c>
      <c r="H14" s="6">
        <v>1</v>
      </c>
      <c r="I14" s="6">
        <v>1</v>
      </c>
      <c r="L14" s="6" t="s">
        <v>298</v>
      </c>
      <c r="M14" s="6" t="s">
        <v>907</v>
      </c>
      <c r="N14" s="6" t="s">
        <v>201</v>
      </c>
      <c r="O14" s="6" t="s">
        <v>671</v>
      </c>
      <c r="P14" s="6" t="s">
        <v>672</v>
      </c>
      <c r="T14">
        <v>10000</v>
      </c>
      <c r="U14">
        <v>966.16249761272377</v>
      </c>
      <c r="V14">
        <v>10000</v>
      </c>
      <c r="W14">
        <v>10000</v>
      </c>
      <c r="X14">
        <v>6.8062820442103739E-2</v>
      </c>
      <c r="Y14">
        <v>0.13234742671497707</v>
      </c>
      <c r="Z14" s="64">
        <v>8</v>
      </c>
      <c r="AA14" s="64"/>
      <c r="AB14" s="61"/>
      <c r="AC14" s="61"/>
      <c r="AD14" s="62"/>
      <c r="AE14" s="63"/>
      <c r="AF14" s="63"/>
      <c r="AG14" s="6" t="s">
        <v>297</v>
      </c>
      <c r="AH14" s="6" t="s">
        <v>298</v>
      </c>
      <c r="AI14" s="2"/>
      <c r="AJ14" s="3" t="s">
        <v>299</v>
      </c>
      <c r="AK14" s="3" t="s">
        <v>201</v>
      </c>
      <c r="AL14" s="6">
        <v>417</v>
      </c>
      <c r="AM14" s="6" t="s">
        <v>193</v>
      </c>
      <c r="EK14"/>
      <c r="EL14"/>
      <c r="EM14"/>
      <c r="EN14"/>
      <c r="EO14"/>
      <c r="EP14"/>
      <c r="EQ14"/>
      <c r="ER14" s="76">
        <v>62.723404255319146</v>
      </c>
      <c r="ES14">
        <v>118.70333333333333</v>
      </c>
      <c r="ET14">
        <v>1.9633333333333336</v>
      </c>
      <c r="EU14">
        <v>7.7433333333333323</v>
      </c>
      <c r="EV14">
        <v>1.3699999999999999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 s="77">
        <v>0</v>
      </c>
      <c r="FK14" s="77">
        <v>0</v>
      </c>
      <c r="FL14" s="77">
        <v>0</v>
      </c>
      <c r="FM14" s="77">
        <v>0</v>
      </c>
      <c r="FN14" s="77">
        <v>0</v>
      </c>
      <c r="FO14" s="77">
        <v>0</v>
      </c>
      <c r="FP14">
        <v>0</v>
      </c>
      <c r="FQ14">
        <v>0</v>
      </c>
      <c r="FR14" s="77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 s="77">
        <v>0</v>
      </c>
      <c r="GA14">
        <v>0</v>
      </c>
      <c r="GB14">
        <v>0</v>
      </c>
      <c r="GC14">
        <v>0</v>
      </c>
      <c r="GD14"/>
    </row>
    <row r="15" spans="1:186" s="6" customFormat="1" x14ac:dyDescent="0.2">
      <c r="A15" s="60" t="s">
        <v>789</v>
      </c>
      <c r="B15" s="6" t="s">
        <v>790</v>
      </c>
      <c r="C15" s="6" t="s">
        <v>496</v>
      </c>
      <c r="D15" s="6" t="s">
        <v>791</v>
      </c>
      <c r="F15" s="6">
        <v>437</v>
      </c>
      <c r="H15" s="6">
        <v>1</v>
      </c>
      <c r="I15" s="6">
        <v>1</v>
      </c>
      <c r="J15" s="6">
        <v>1</v>
      </c>
      <c r="L15" s="6" t="s">
        <v>792</v>
      </c>
      <c r="M15" s="6" t="s">
        <v>793</v>
      </c>
      <c r="N15" s="6" t="s">
        <v>270</v>
      </c>
      <c r="O15" s="6" t="s">
        <v>667</v>
      </c>
      <c r="P15" s="6" t="s">
        <v>668</v>
      </c>
      <c r="T15">
        <v>7.7441143054479653</v>
      </c>
      <c r="U15">
        <v>5.6961130824704185</v>
      </c>
      <c r="V15">
        <v>10000</v>
      </c>
      <c r="W15">
        <v>317.86549216745914</v>
      </c>
      <c r="X15">
        <v>0.19229757066244224</v>
      </c>
      <c r="Y15">
        <v>0.24992378734225673</v>
      </c>
      <c r="Z15" s="64">
        <v>114</v>
      </c>
      <c r="AA15" s="64"/>
      <c r="AB15" s="61"/>
      <c r="AC15" s="61"/>
      <c r="AD15" s="62"/>
      <c r="AE15" s="63"/>
      <c r="AF15" s="63"/>
      <c r="AG15" s="6" t="s">
        <v>494</v>
      </c>
      <c r="AH15" s="6" t="s">
        <v>495</v>
      </c>
      <c r="AI15" s="2"/>
      <c r="AJ15" s="3" t="s">
        <v>496</v>
      </c>
      <c r="AK15" s="3" t="s">
        <v>270</v>
      </c>
      <c r="AL15" s="6">
        <v>1619</v>
      </c>
      <c r="AM15" s="6" t="s">
        <v>193</v>
      </c>
      <c r="EK15"/>
      <c r="EL15"/>
      <c r="EM15"/>
      <c r="EN15"/>
      <c r="EO15"/>
      <c r="EP15"/>
      <c r="EQ15"/>
      <c r="FB15" s="6">
        <v>0</v>
      </c>
      <c r="FC15" s="6">
        <v>0.28586904761904763</v>
      </c>
      <c r="FD15" s="6">
        <v>0</v>
      </c>
      <c r="FE15" s="6">
        <v>0</v>
      </c>
      <c r="FF15" s="6">
        <v>0</v>
      </c>
      <c r="FG15" s="6">
        <v>84.532249999999991</v>
      </c>
      <c r="FH15" s="6">
        <v>3.6547619047619051E-2</v>
      </c>
      <c r="FI15" s="6">
        <v>2.5797619047619048E-2</v>
      </c>
      <c r="FJ15" s="66">
        <v>0</v>
      </c>
      <c r="FK15" s="66">
        <v>26.136809988863696</v>
      </c>
      <c r="FL15" s="66">
        <v>0</v>
      </c>
      <c r="FM15" s="66">
        <v>0</v>
      </c>
      <c r="FN15" s="66">
        <v>0</v>
      </c>
      <c r="FO15" s="66">
        <v>7.2081527777777756</v>
      </c>
      <c r="FP15" s="6">
        <v>0</v>
      </c>
      <c r="FQ15" s="6">
        <v>0</v>
      </c>
      <c r="FR15" s="66">
        <v>0</v>
      </c>
      <c r="FS15" s="6">
        <v>19.088251851851847</v>
      </c>
      <c r="FT15" s="6">
        <v>0</v>
      </c>
      <c r="FU15" s="6">
        <v>0</v>
      </c>
      <c r="FV15" s="6">
        <v>0</v>
      </c>
      <c r="FW15" s="6">
        <v>0.31387500000000002</v>
      </c>
      <c r="FX15" s="6">
        <v>0</v>
      </c>
      <c r="FY15" s="6">
        <v>0</v>
      </c>
      <c r="FZ15" s="66">
        <v>0</v>
      </c>
      <c r="GA15" s="6">
        <v>6.1999999999999986E-2</v>
      </c>
      <c r="GB15" s="6">
        <v>0</v>
      </c>
      <c r="GC15" s="6">
        <v>0</v>
      </c>
      <c r="GD15"/>
    </row>
    <row r="16" spans="1:186" s="26" customFormat="1" x14ac:dyDescent="0.2">
      <c r="A16" s="68" t="s">
        <v>749</v>
      </c>
      <c r="B16" s="26" t="s">
        <v>149</v>
      </c>
      <c r="C16" s="26" t="s">
        <v>29</v>
      </c>
      <c r="D16" s="26" t="s">
        <v>750</v>
      </c>
      <c r="F16" s="26">
        <v>300388</v>
      </c>
      <c r="G16" s="26">
        <v>1</v>
      </c>
      <c r="H16" s="26">
        <v>1</v>
      </c>
      <c r="I16" s="26">
        <v>1</v>
      </c>
      <c r="J16" s="26">
        <v>1</v>
      </c>
      <c r="L16" s="26" t="s">
        <v>502</v>
      </c>
      <c r="M16" s="26" t="s">
        <v>751</v>
      </c>
      <c r="N16" s="26" t="s">
        <v>427</v>
      </c>
      <c r="O16" s="26" t="s">
        <v>671</v>
      </c>
      <c r="P16" s="26" t="s">
        <v>672</v>
      </c>
      <c r="T16" s="39">
        <v>34.9522519918374</v>
      </c>
      <c r="U16" s="39">
        <v>32.03545151715177</v>
      </c>
      <c r="V16" s="39">
        <v>70.464980186686461</v>
      </c>
      <c r="W16" s="39">
        <v>61.2982596286598</v>
      </c>
      <c r="X16" s="39">
        <v>0.12009620482725523</v>
      </c>
      <c r="Y16" s="39">
        <v>0.16985874284587776</v>
      </c>
      <c r="Z16" s="69">
        <v>114</v>
      </c>
      <c r="AA16" s="69"/>
      <c r="AB16" s="56">
        <v>2.22E-4</v>
      </c>
      <c r="AC16" s="57">
        <v>0.01</v>
      </c>
      <c r="AD16" s="58">
        <v>0.67700000000000005</v>
      </c>
      <c r="AE16" s="58">
        <v>5.13</v>
      </c>
      <c r="AF16" s="58">
        <v>1.06</v>
      </c>
      <c r="AG16" s="26" t="s">
        <v>149</v>
      </c>
      <c r="AH16" s="26" t="s">
        <v>497</v>
      </c>
      <c r="AI16" s="26">
        <v>300388</v>
      </c>
      <c r="AJ16" s="26" t="s">
        <v>29</v>
      </c>
      <c r="AK16" s="28" t="s">
        <v>427</v>
      </c>
      <c r="AL16" s="26">
        <v>1620</v>
      </c>
      <c r="AM16" s="26" t="s">
        <v>246</v>
      </c>
      <c r="AO16" s="32">
        <v>0</v>
      </c>
      <c r="AP16" s="32">
        <v>0</v>
      </c>
      <c r="AQ16" s="32">
        <v>138.24</v>
      </c>
      <c r="AR16" s="32">
        <v>169.88</v>
      </c>
      <c r="AS16" s="32">
        <v>730.79</v>
      </c>
      <c r="AT16" s="32">
        <v>65.55</v>
      </c>
      <c r="AU16" s="32">
        <v>17.559999999999999</v>
      </c>
      <c r="AV16" s="32">
        <v>394.17</v>
      </c>
      <c r="AW16" s="32">
        <v>308.27</v>
      </c>
      <c r="AX16" s="32">
        <v>343.82</v>
      </c>
      <c r="AY16" s="32">
        <v>343.82</v>
      </c>
      <c r="AZ16" s="32">
        <v>0</v>
      </c>
      <c r="BA16" s="33">
        <v>23.6314812</v>
      </c>
      <c r="BB16" s="33">
        <v>12.7829616</v>
      </c>
      <c r="BC16" s="33">
        <v>72.485895199999987</v>
      </c>
      <c r="BD16" s="33">
        <v>111.648028</v>
      </c>
      <c r="BE16" s="33">
        <v>246.89049439999997</v>
      </c>
      <c r="BF16" s="33">
        <v>51.205611600000005</v>
      </c>
      <c r="BG16" s="33">
        <v>21.714255999999999</v>
      </c>
      <c r="BH16" s="33">
        <v>152.91140579999998</v>
      </c>
      <c r="BI16" s="33">
        <v>140.73729239999997</v>
      </c>
      <c r="BJ16" s="33">
        <v>128.83237840000001</v>
      </c>
      <c r="BK16" s="33">
        <v>157.22289279999998</v>
      </c>
      <c r="BL16" s="33">
        <v>134.27969999999999</v>
      </c>
      <c r="BM16" s="33">
        <v>16.009113599999999</v>
      </c>
      <c r="BN16" s="34">
        <v>0</v>
      </c>
      <c r="BO16" s="34">
        <v>0</v>
      </c>
      <c r="BP16" s="34">
        <v>58.659453200000002</v>
      </c>
      <c r="BQ16" s="34">
        <v>77.789705599999991</v>
      </c>
      <c r="BR16" s="34">
        <v>268.64092500000004</v>
      </c>
      <c r="BS16" s="34">
        <v>25.624508000000002</v>
      </c>
      <c r="BT16" s="34">
        <v>159.94226159999999</v>
      </c>
      <c r="BU16" s="34">
        <v>84.380399999999995</v>
      </c>
      <c r="BV16" s="34">
        <v>0</v>
      </c>
      <c r="BW16" s="34">
        <v>9.3889762000000001</v>
      </c>
      <c r="BX16" s="34">
        <v>0</v>
      </c>
      <c r="BY16" s="34">
        <v>45.740903999999993</v>
      </c>
      <c r="BZ16" s="34">
        <v>96.435503999999995</v>
      </c>
      <c r="CA16" s="34">
        <v>23.34675</v>
      </c>
      <c r="CB16" s="34">
        <v>110.03207000000002</v>
      </c>
      <c r="CC16" s="34">
        <v>84.531692400000011</v>
      </c>
      <c r="CD16" s="34">
        <v>0</v>
      </c>
      <c r="CE16" s="34">
        <v>22.286911200000002</v>
      </c>
      <c r="CF16" s="34">
        <v>0</v>
      </c>
      <c r="CG16" s="34">
        <v>72.124172400000006</v>
      </c>
      <c r="CH16" s="34">
        <v>105.90462960000001</v>
      </c>
      <c r="CI16" s="34">
        <v>635.53866180000011</v>
      </c>
      <c r="CJ16" s="34">
        <v>32.8473696</v>
      </c>
      <c r="CK16" s="34">
        <v>99.302351200000004</v>
      </c>
      <c r="CL16" s="34">
        <v>14.030105599999999</v>
      </c>
      <c r="CM16" s="34">
        <v>8.5317270000000001</v>
      </c>
      <c r="CN16" s="34">
        <v>26.552933799999998</v>
      </c>
      <c r="CO16" s="34">
        <v>20.892052799999998</v>
      </c>
      <c r="CP16" s="34">
        <v>8.9825710000000001</v>
      </c>
      <c r="CQ16" s="34">
        <v>52.9920124</v>
      </c>
      <c r="CR16" s="34">
        <v>22.342860800000004</v>
      </c>
      <c r="CS16" s="34">
        <v>7.0017911999999995</v>
      </c>
      <c r="CT16" s="35">
        <v>0</v>
      </c>
      <c r="CU16" s="35">
        <v>49.84793040000001</v>
      </c>
      <c r="CV16" s="35">
        <v>62.076145199999999</v>
      </c>
      <c r="CW16" s="35">
        <v>30.972937599999998</v>
      </c>
      <c r="CX16" s="35">
        <v>0</v>
      </c>
      <c r="CY16" s="35">
        <v>22.423884000000001</v>
      </c>
      <c r="CZ16" s="35">
        <v>152.9397998</v>
      </c>
      <c r="DA16" s="35">
        <v>1124.1625667999999</v>
      </c>
      <c r="DB16" s="35">
        <v>9.9352169999999997</v>
      </c>
      <c r="DC16" s="35">
        <v>34.597004400000003</v>
      </c>
      <c r="DD16" s="35">
        <v>0</v>
      </c>
      <c r="DE16" s="35">
        <v>168.8966466</v>
      </c>
      <c r="DF16" s="35">
        <v>89.969250000000002</v>
      </c>
      <c r="DG16" s="35">
        <v>102.76937880000003</v>
      </c>
      <c r="DH16" s="35">
        <v>0</v>
      </c>
      <c r="DI16" s="35">
        <v>36.837754200000006</v>
      </c>
      <c r="DJ16" s="35">
        <v>0</v>
      </c>
      <c r="DK16" s="35">
        <v>127.641289</v>
      </c>
      <c r="DL16" s="35">
        <v>24.0858296</v>
      </c>
      <c r="DM16" s="35">
        <v>49.572887999999999</v>
      </c>
      <c r="DN16" s="35">
        <v>44.294900000000005</v>
      </c>
      <c r="DO16" s="35">
        <v>37.058416799999996</v>
      </c>
      <c r="DP16" s="35">
        <v>10.0696566</v>
      </c>
      <c r="DQ16" s="35">
        <v>24.439685599999997</v>
      </c>
      <c r="DR16" s="35">
        <v>0</v>
      </c>
      <c r="DS16" s="35">
        <v>32.179824000000004</v>
      </c>
      <c r="DT16" s="35">
        <v>0</v>
      </c>
      <c r="DU16" s="35">
        <v>0</v>
      </c>
      <c r="DV16" s="35">
        <v>0</v>
      </c>
      <c r="DW16" s="36">
        <v>7.8</v>
      </c>
      <c r="DX16" s="36">
        <v>10</v>
      </c>
      <c r="DY16" s="36">
        <v>56</v>
      </c>
      <c r="DZ16" s="36">
        <v>20</v>
      </c>
      <c r="EA16" s="36">
        <v>9.6999999999999993</v>
      </c>
      <c r="EB16" s="29">
        <v>31.8</v>
      </c>
      <c r="EC16" s="29">
        <v>181</v>
      </c>
      <c r="ED16" s="29">
        <v>16.100000000000001</v>
      </c>
      <c r="EE16" s="29">
        <v>7.94</v>
      </c>
      <c r="EF16" s="29"/>
      <c r="EG16" s="29"/>
      <c r="EH16" s="29"/>
      <c r="EI16" s="29"/>
      <c r="EJ16" s="36"/>
      <c r="EK16" s="108">
        <v>811</v>
      </c>
      <c r="EL16" s="108">
        <v>72.599999999999994</v>
      </c>
      <c r="EM16" s="108">
        <v>139</v>
      </c>
      <c r="EN16" s="108">
        <v>137</v>
      </c>
      <c r="EO16" s="108">
        <v>152</v>
      </c>
      <c r="EP16" s="108"/>
      <c r="EQ16" s="108"/>
      <c r="FB16" s="30">
        <v>0</v>
      </c>
      <c r="FC16" s="30">
        <v>9.8900793650793628E-2</v>
      </c>
      <c r="FD16" s="26">
        <v>0</v>
      </c>
      <c r="FE16" s="26">
        <v>0</v>
      </c>
      <c r="FF16" s="26">
        <v>0</v>
      </c>
      <c r="FG16" s="26">
        <v>59.695052910052908</v>
      </c>
      <c r="FH16" s="26">
        <v>2.6809523809523811E-2</v>
      </c>
      <c r="FI16" s="26">
        <v>0</v>
      </c>
      <c r="FJ16" s="74">
        <v>0</v>
      </c>
      <c r="FK16" s="74">
        <v>24.228021894761966</v>
      </c>
      <c r="FL16" s="74">
        <v>0</v>
      </c>
      <c r="FM16" s="74">
        <v>0</v>
      </c>
      <c r="FN16" s="74">
        <v>0</v>
      </c>
      <c r="FO16" s="74">
        <v>16.341755555555558</v>
      </c>
      <c r="FP16" s="26">
        <v>0</v>
      </c>
      <c r="FQ16" s="26">
        <v>0</v>
      </c>
      <c r="FR16" s="74">
        <v>0</v>
      </c>
      <c r="FS16" s="26">
        <v>40.044451851851854</v>
      </c>
      <c r="FT16" s="26">
        <v>0</v>
      </c>
      <c r="FU16" s="26">
        <v>0</v>
      </c>
      <c r="FV16" s="26">
        <v>0</v>
      </c>
      <c r="FW16" s="26">
        <v>3.3896296296296291</v>
      </c>
      <c r="FX16" s="26">
        <v>0</v>
      </c>
      <c r="FY16" s="26">
        <v>0</v>
      </c>
      <c r="FZ16" s="74">
        <v>0</v>
      </c>
      <c r="GA16" s="26">
        <v>1.5633888888888889</v>
      </c>
      <c r="GB16" s="26">
        <v>0</v>
      </c>
      <c r="GC16" s="26">
        <v>0</v>
      </c>
      <c r="GD16"/>
    </row>
    <row r="17" spans="1:186" s="6" customFormat="1" x14ac:dyDescent="0.2">
      <c r="A17" s="60" t="s">
        <v>878</v>
      </c>
      <c r="B17" s="6" t="s">
        <v>194</v>
      </c>
      <c r="C17" s="6" t="s">
        <v>196</v>
      </c>
      <c r="D17" s="6" t="s">
        <v>876</v>
      </c>
      <c r="H17" s="6">
        <v>1</v>
      </c>
      <c r="I17" s="6">
        <v>1</v>
      </c>
      <c r="L17" s="6" t="s">
        <v>195</v>
      </c>
      <c r="M17" s="6" t="s">
        <v>879</v>
      </c>
      <c r="N17" s="6" t="s">
        <v>197</v>
      </c>
      <c r="O17" s="6" t="s">
        <v>671</v>
      </c>
      <c r="P17" s="6" t="s">
        <v>672</v>
      </c>
      <c r="T17">
        <v>110.59022145630379</v>
      </c>
      <c r="U17">
        <v>54.850693103305872</v>
      </c>
      <c r="V17">
        <v>10000</v>
      </c>
      <c r="W17">
        <v>264.34525784057661</v>
      </c>
      <c r="X17">
        <v>4.7353765370392153E-2</v>
      </c>
      <c r="Y17">
        <v>7.2881870684103497E-2</v>
      </c>
      <c r="Z17" s="64">
        <v>63</v>
      </c>
      <c r="AA17" s="64"/>
      <c r="AB17" s="61"/>
      <c r="AC17" s="61"/>
      <c r="AD17" s="62"/>
      <c r="AE17" s="63"/>
      <c r="AF17" s="63"/>
      <c r="AG17" s="6" t="s">
        <v>194</v>
      </c>
      <c r="AH17" s="6" t="s">
        <v>195</v>
      </c>
      <c r="AI17" s="4">
        <v>300344</v>
      </c>
      <c r="AJ17" s="3" t="s">
        <v>196</v>
      </c>
      <c r="AK17" s="3" t="s">
        <v>197</v>
      </c>
      <c r="AL17" s="6">
        <v>56</v>
      </c>
      <c r="EK17"/>
      <c r="EL17"/>
      <c r="EM17"/>
      <c r="EN17"/>
      <c r="EO17"/>
      <c r="EP17"/>
      <c r="EQ17"/>
      <c r="EW17" s="6">
        <v>0</v>
      </c>
      <c r="EX17" s="6">
        <v>0</v>
      </c>
      <c r="EY17" s="65">
        <v>139.19666666666669</v>
      </c>
      <c r="EZ17" s="6">
        <v>87.280000000000015</v>
      </c>
      <c r="FA17" s="6">
        <v>332.34666666666664</v>
      </c>
      <c r="FB17" s="78"/>
      <c r="FI17" s="65"/>
      <c r="GD17"/>
    </row>
    <row r="18" spans="1:186" s="6" customFormat="1" x14ac:dyDescent="0.2">
      <c r="A18" s="60" t="s">
        <v>899</v>
      </c>
      <c r="B18" s="6" t="s">
        <v>280</v>
      </c>
      <c r="C18" s="6" t="s">
        <v>282</v>
      </c>
      <c r="D18" s="6" t="s">
        <v>876</v>
      </c>
      <c r="H18" s="6">
        <v>1</v>
      </c>
      <c r="I18" s="6">
        <v>1</v>
      </c>
      <c r="L18" s="6" t="s">
        <v>900</v>
      </c>
      <c r="M18" s="6" t="s">
        <v>901</v>
      </c>
      <c r="N18" s="6" t="s">
        <v>197</v>
      </c>
      <c r="O18" s="6" t="s">
        <v>667</v>
      </c>
      <c r="P18" s="6" t="s">
        <v>668</v>
      </c>
      <c r="T18">
        <v>36.261058762344163</v>
      </c>
      <c r="U18">
        <v>31.453159266813234</v>
      </c>
      <c r="V18">
        <v>51.786889679029791</v>
      </c>
      <c r="W18">
        <v>39.977715985696058</v>
      </c>
      <c r="X18">
        <v>0.19543470321453052</v>
      </c>
      <c r="Y18">
        <v>0.28105384950442619</v>
      </c>
      <c r="Z18" s="64">
        <v>85</v>
      </c>
      <c r="AA18" s="64"/>
      <c r="AB18" s="61"/>
      <c r="AC18" s="61"/>
      <c r="AD18" s="62"/>
      <c r="AE18" s="63"/>
      <c r="AF18" s="63"/>
      <c r="AG18" s="6" t="s">
        <v>280</v>
      </c>
      <c r="AH18" s="6" t="s">
        <v>281</v>
      </c>
      <c r="AI18" s="2"/>
      <c r="AJ18" s="3" t="s">
        <v>282</v>
      </c>
      <c r="AK18" s="3" t="s">
        <v>197</v>
      </c>
      <c r="AL18" s="6">
        <v>412</v>
      </c>
      <c r="EK18"/>
      <c r="EL18"/>
      <c r="EM18"/>
      <c r="EN18"/>
      <c r="EO18"/>
      <c r="EP18"/>
      <c r="EQ18"/>
      <c r="EW18" s="6">
        <v>85.933333333333337</v>
      </c>
      <c r="EX18" s="6">
        <v>101.89</v>
      </c>
      <c r="EY18" s="65">
        <v>717.92333333333329</v>
      </c>
      <c r="EZ18" s="6">
        <v>1026.4733333333334</v>
      </c>
      <c r="FA18" s="6">
        <v>1615.7866666666669</v>
      </c>
      <c r="GD18"/>
    </row>
    <row r="19" spans="1:186" s="26" customFormat="1" x14ac:dyDescent="0.2">
      <c r="A19" s="68" t="s">
        <v>737</v>
      </c>
      <c r="B19" s="26" t="s">
        <v>165</v>
      </c>
      <c r="C19" s="26" t="s">
        <v>9</v>
      </c>
      <c r="D19" s="26" t="s">
        <v>255</v>
      </c>
      <c r="F19" s="26">
        <v>300317</v>
      </c>
      <c r="G19" s="26">
        <v>1</v>
      </c>
      <c r="H19" s="26">
        <v>1</v>
      </c>
      <c r="I19" s="26">
        <v>1</v>
      </c>
      <c r="J19" s="26">
        <v>1</v>
      </c>
      <c r="L19" s="26" t="s">
        <v>309</v>
      </c>
      <c r="M19" s="26" t="s">
        <v>738</v>
      </c>
      <c r="N19" s="26" t="s">
        <v>188</v>
      </c>
      <c r="O19" s="26" t="s">
        <v>671</v>
      </c>
      <c r="P19" s="26" t="s">
        <v>672</v>
      </c>
      <c r="T19" s="39">
        <v>34.653509352872568</v>
      </c>
      <c r="U19" s="39">
        <v>18.000109929002551</v>
      </c>
      <c r="V19" s="39">
        <v>10000</v>
      </c>
      <c r="W19" s="39">
        <v>739.40681553879358</v>
      </c>
      <c r="X19" s="39">
        <v>9.4460345261963757E-2</v>
      </c>
      <c r="Y19" s="39">
        <v>0.17049356151619871</v>
      </c>
      <c r="Z19" s="39"/>
      <c r="AA19" s="39"/>
      <c r="AB19" s="56">
        <v>6.9999999999999994E-5</v>
      </c>
      <c r="AC19" s="57">
        <v>3.2699999999999999E-3</v>
      </c>
      <c r="AD19" s="58">
        <v>1.22</v>
      </c>
      <c r="AE19" s="58">
        <v>18.2</v>
      </c>
      <c r="AF19" s="58">
        <v>6.28</v>
      </c>
      <c r="AG19" s="26" t="s">
        <v>8</v>
      </c>
      <c r="AH19" s="26" t="s">
        <v>309</v>
      </c>
      <c r="AI19" s="27">
        <v>300317</v>
      </c>
      <c r="AJ19" s="28" t="s">
        <v>9</v>
      </c>
      <c r="AK19" s="28" t="s">
        <v>188</v>
      </c>
      <c r="AL19" s="26">
        <v>447</v>
      </c>
      <c r="AM19" s="26" t="s">
        <v>246</v>
      </c>
      <c r="AO19" s="32">
        <v>115.63</v>
      </c>
      <c r="AP19" s="32">
        <v>91.53</v>
      </c>
      <c r="AQ19" s="32">
        <v>408.93</v>
      </c>
      <c r="AR19" s="32">
        <v>386.82</v>
      </c>
      <c r="AS19" s="32">
        <v>678.28</v>
      </c>
      <c r="AT19" s="32">
        <v>196.45</v>
      </c>
      <c r="AU19" s="32">
        <v>70.17</v>
      </c>
      <c r="AV19" s="32">
        <v>425.74</v>
      </c>
      <c r="AW19" s="32">
        <v>337.93</v>
      </c>
      <c r="AX19" s="32">
        <v>388.42</v>
      </c>
      <c r="AY19" s="32">
        <v>388.42</v>
      </c>
      <c r="AZ19" s="32">
        <v>0</v>
      </c>
      <c r="BA19" s="33">
        <v>79.918543199999988</v>
      </c>
      <c r="BB19" s="33">
        <v>0</v>
      </c>
      <c r="BC19" s="33">
        <v>149.73734880000001</v>
      </c>
      <c r="BD19" s="33">
        <v>172.70943500000001</v>
      </c>
      <c r="BE19" s="33">
        <v>250.10651520000002</v>
      </c>
      <c r="BF19" s="33">
        <v>109.50886560000001</v>
      </c>
      <c r="BG19" s="33">
        <v>59.631308800000006</v>
      </c>
      <c r="BH19" s="33">
        <v>185.36035200000001</v>
      </c>
      <c r="BI19" s="33">
        <v>162.34427099999999</v>
      </c>
      <c r="BJ19" s="33">
        <v>182.22705000000002</v>
      </c>
      <c r="BK19" s="33">
        <v>172.73742720000001</v>
      </c>
      <c r="BL19" s="33">
        <v>154.972272</v>
      </c>
      <c r="BM19" s="33">
        <v>64.229450400000005</v>
      </c>
      <c r="BN19" s="34">
        <v>0</v>
      </c>
      <c r="BO19" s="34">
        <v>0</v>
      </c>
      <c r="BP19" s="34">
        <v>0</v>
      </c>
      <c r="BQ19" s="34">
        <v>206.33735719999999</v>
      </c>
      <c r="BR19" s="34">
        <v>350.13911999999999</v>
      </c>
      <c r="BS19" s="34">
        <v>0</v>
      </c>
      <c r="BT19" s="34">
        <v>0</v>
      </c>
      <c r="BU19" s="34">
        <v>0</v>
      </c>
      <c r="BV19" s="34">
        <v>128.5612658</v>
      </c>
      <c r="BW19" s="34">
        <v>0</v>
      </c>
      <c r="BX19" s="34">
        <v>0</v>
      </c>
      <c r="BY19" s="34">
        <v>0</v>
      </c>
      <c r="BZ19" s="34">
        <v>0</v>
      </c>
      <c r="CA19" s="34">
        <v>0</v>
      </c>
      <c r="CB19" s="34">
        <v>0</v>
      </c>
      <c r="CC19" s="34">
        <v>0</v>
      </c>
      <c r="CD19" s="34">
        <v>0</v>
      </c>
      <c r="CE19" s="34">
        <v>0</v>
      </c>
      <c r="CF19" s="34">
        <v>0</v>
      </c>
      <c r="CG19" s="34">
        <v>0</v>
      </c>
      <c r="CH19" s="34">
        <v>0</v>
      </c>
      <c r="CI19" s="34">
        <v>0</v>
      </c>
      <c r="CJ19" s="34">
        <v>0</v>
      </c>
      <c r="CK19" s="34">
        <v>0</v>
      </c>
      <c r="CL19" s="34">
        <v>0</v>
      </c>
      <c r="CM19" s="34">
        <v>0</v>
      </c>
      <c r="CN19" s="34">
        <v>0</v>
      </c>
      <c r="CO19" s="34">
        <v>0</v>
      </c>
      <c r="CP19" s="34">
        <v>0</v>
      </c>
      <c r="CQ19" s="34">
        <v>0</v>
      </c>
      <c r="CR19" s="34">
        <v>64.757453999999996</v>
      </c>
      <c r="CS19" s="34">
        <v>0</v>
      </c>
      <c r="CT19" s="35">
        <v>4.4684153999999996</v>
      </c>
      <c r="CU19" s="35">
        <v>0</v>
      </c>
      <c r="CV19" s="35">
        <v>0</v>
      </c>
      <c r="CW19" s="35">
        <v>0</v>
      </c>
      <c r="CX19" s="35">
        <v>0</v>
      </c>
      <c r="CY19" s="35">
        <v>0</v>
      </c>
      <c r="CZ19" s="35">
        <v>162.7614384</v>
      </c>
      <c r="DA19" s="35">
        <v>0</v>
      </c>
      <c r="DB19" s="35">
        <v>145.71621059999998</v>
      </c>
      <c r="DC19" s="35">
        <v>30.944804000000001</v>
      </c>
      <c r="DD19" s="35">
        <v>0</v>
      </c>
      <c r="DE19" s="35">
        <v>0</v>
      </c>
      <c r="DF19" s="35">
        <v>0</v>
      </c>
      <c r="DG19" s="35">
        <v>0</v>
      </c>
      <c r="DH19" s="35">
        <v>0</v>
      </c>
      <c r="DI19" s="35">
        <v>0</v>
      </c>
      <c r="DJ19" s="35">
        <v>0</v>
      </c>
      <c r="DK19" s="35">
        <v>0</v>
      </c>
      <c r="DL19" s="35">
        <v>0</v>
      </c>
      <c r="DM19" s="35">
        <v>0</v>
      </c>
      <c r="DN19" s="35">
        <v>959.91162240000006</v>
      </c>
      <c r="DO19" s="35">
        <v>0</v>
      </c>
      <c r="DP19" s="35">
        <v>0</v>
      </c>
      <c r="DQ19" s="35">
        <v>199.8094356</v>
      </c>
      <c r="DR19" s="35">
        <v>0</v>
      </c>
      <c r="DS19" s="35">
        <v>330.53197719999997</v>
      </c>
      <c r="DT19" s="35">
        <v>0</v>
      </c>
      <c r="DU19" s="35">
        <v>0</v>
      </c>
      <c r="DV19" s="35">
        <v>0</v>
      </c>
      <c r="DW19" s="36">
        <v>35</v>
      </c>
      <c r="DX19" s="36">
        <v>47</v>
      </c>
      <c r="DY19" s="36">
        <v>84</v>
      </c>
      <c r="DZ19" s="36">
        <v>77</v>
      </c>
      <c r="EA19" s="36">
        <v>52</v>
      </c>
      <c r="EB19" s="29">
        <v>221</v>
      </c>
      <c r="EC19" s="29">
        <v>389</v>
      </c>
      <c r="ED19" s="29">
        <v>140</v>
      </c>
      <c r="EE19" s="29">
        <v>96.2</v>
      </c>
      <c r="EF19" s="29"/>
      <c r="EG19" s="29"/>
      <c r="EH19" s="29"/>
      <c r="EI19" s="29"/>
      <c r="EJ19" s="36"/>
      <c r="EK19" s="108">
        <v>119</v>
      </c>
      <c r="EL19" s="108">
        <v>14.4</v>
      </c>
      <c r="EM19" s="108">
        <v>21.8</v>
      </c>
      <c r="EN19" s="108">
        <v>22.3</v>
      </c>
      <c r="EO19" s="108">
        <v>22.9</v>
      </c>
      <c r="EP19" s="108"/>
      <c r="EQ19" s="108"/>
      <c r="FB19" s="26">
        <v>0</v>
      </c>
      <c r="FC19" s="26">
        <v>0.22817857142857137</v>
      </c>
      <c r="FD19" s="26">
        <v>0</v>
      </c>
      <c r="FE19" s="26">
        <v>0</v>
      </c>
      <c r="FF19" s="26">
        <v>0</v>
      </c>
      <c r="FG19" s="26">
        <v>5.0439523809523799</v>
      </c>
      <c r="FH19" s="26">
        <v>6.7261904761904759E-3</v>
      </c>
      <c r="FI19" s="26">
        <v>0</v>
      </c>
      <c r="FJ19" s="74">
        <v>0</v>
      </c>
      <c r="FK19" s="74">
        <v>3.1759672075726844</v>
      </c>
      <c r="FL19" s="74">
        <v>0</v>
      </c>
      <c r="FM19" s="74">
        <v>0</v>
      </c>
      <c r="FN19" s="74">
        <v>0</v>
      </c>
      <c r="FO19" s="74">
        <v>3.1524166666666669</v>
      </c>
      <c r="FP19" s="26">
        <v>0</v>
      </c>
      <c r="FQ19" s="26">
        <v>0</v>
      </c>
      <c r="FR19" s="74">
        <v>0</v>
      </c>
      <c r="FS19" s="26">
        <v>5.4486666666666661</v>
      </c>
      <c r="FT19" s="26">
        <v>0</v>
      </c>
      <c r="FU19" s="26">
        <v>0</v>
      </c>
      <c r="FV19" s="26">
        <v>0</v>
      </c>
      <c r="FW19" s="26">
        <v>1.362638888888889</v>
      </c>
      <c r="FX19" s="26">
        <v>0</v>
      </c>
      <c r="FY19" s="26">
        <v>0</v>
      </c>
      <c r="FZ19" s="74">
        <v>0</v>
      </c>
      <c r="GA19" s="26">
        <v>0.99550000000000005</v>
      </c>
      <c r="GB19" s="26">
        <v>0</v>
      </c>
      <c r="GC19" s="26">
        <v>0</v>
      </c>
      <c r="GD19"/>
    </row>
    <row r="20" spans="1:186" s="6" customFormat="1" x14ac:dyDescent="0.2">
      <c r="A20" s="60" t="s">
        <v>971</v>
      </c>
      <c r="B20" s="6" t="s">
        <v>972</v>
      </c>
      <c r="C20" s="6" t="s">
        <v>232</v>
      </c>
      <c r="D20" s="6" t="s">
        <v>876</v>
      </c>
      <c r="I20" s="6">
        <v>1</v>
      </c>
      <c r="L20" s="6" t="s">
        <v>231</v>
      </c>
      <c r="M20" s="6" t="s">
        <v>973</v>
      </c>
      <c r="N20" s="6" t="s">
        <v>201</v>
      </c>
      <c r="O20" s="6" t="s">
        <v>671</v>
      </c>
      <c r="P20" s="6" t="s">
        <v>672</v>
      </c>
      <c r="T20">
        <v>3.3028915779138988</v>
      </c>
      <c r="U20">
        <v>2.3035344437079797</v>
      </c>
      <c r="V20">
        <v>11.585372501986095</v>
      </c>
      <c r="W20">
        <v>2.6146523506557138</v>
      </c>
      <c r="X20">
        <v>0.74648106723112928</v>
      </c>
      <c r="Y20">
        <v>0.95135323019489137</v>
      </c>
      <c r="Z20"/>
      <c r="AA20"/>
      <c r="AB20" s="61"/>
      <c r="AC20" s="61"/>
      <c r="AD20" s="62"/>
      <c r="AE20" s="63"/>
      <c r="AF20" s="63"/>
      <c r="AG20" s="6" t="s">
        <v>230</v>
      </c>
      <c r="AH20" s="6" t="s">
        <v>231</v>
      </c>
      <c r="AI20" s="2"/>
      <c r="AJ20" s="3" t="s">
        <v>232</v>
      </c>
      <c r="AK20" s="3" t="s">
        <v>201</v>
      </c>
      <c r="AL20" s="6">
        <v>227</v>
      </c>
      <c r="EK20"/>
      <c r="EL20"/>
      <c r="EM20"/>
      <c r="EN20"/>
      <c r="EO20"/>
      <c r="EP20"/>
      <c r="EQ20"/>
      <c r="FB20" s="65"/>
      <c r="GD20"/>
    </row>
    <row r="21" spans="1:186" s="6" customFormat="1" x14ac:dyDescent="0.2">
      <c r="A21" s="60" t="s">
        <v>1011</v>
      </c>
      <c r="B21" s="6" t="s">
        <v>1012</v>
      </c>
      <c r="C21" s="6" t="s">
        <v>532</v>
      </c>
      <c r="D21" s="6" t="s">
        <v>876</v>
      </c>
      <c r="I21" s="6">
        <v>1</v>
      </c>
      <c r="L21" s="6" t="s">
        <v>531</v>
      </c>
      <c r="M21" s="6" t="s">
        <v>1013</v>
      </c>
      <c r="N21" s="6" t="s">
        <v>255</v>
      </c>
      <c r="O21" s="6" t="s">
        <v>671</v>
      </c>
      <c r="P21" s="6" t="s">
        <v>672</v>
      </c>
      <c r="T21">
        <v>11.594169785248912</v>
      </c>
      <c r="U21">
        <v>10.67436434053254</v>
      </c>
      <c r="V21">
        <v>14.94319940225499</v>
      </c>
      <c r="W21">
        <v>12.859477335488075</v>
      </c>
      <c r="X21">
        <v>0.8372506465658256</v>
      </c>
      <c r="Y21">
        <v>0.86104262740069637</v>
      </c>
      <c r="Z21"/>
      <c r="AA21"/>
      <c r="AB21" s="61"/>
      <c r="AC21" s="61"/>
      <c r="AD21" s="62"/>
      <c r="AE21" s="63"/>
      <c r="AF21" s="63"/>
      <c r="AG21" s="6" t="s">
        <v>530</v>
      </c>
      <c r="AH21" s="6" t="s">
        <v>531</v>
      </c>
      <c r="AI21" s="2"/>
      <c r="AJ21" s="6" t="s">
        <v>532</v>
      </c>
      <c r="AK21" s="3" t="s">
        <v>255</v>
      </c>
      <c r="AL21" s="6">
        <v>3409</v>
      </c>
      <c r="EK21"/>
      <c r="EL21"/>
      <c r="EM21"/>
      <c r="EN21"/>
      <c r="EO21"/>
      <c r="EP21"/>
      <c r="EQ21"/>
      <c r="FI21" s="65"/>
      <c r="GD21"/>
    </row>
    <row r="22" spans="1:186" s="6" customFormat="1" x14ac:dyDescent="0.2">
      <c r="A22" s="60" t="s">
        <v>929</v>
      </c>
      <c r="B22" s="6" t="s">
        <v>411</v>
      </c>
      <c r="C22" s="6" t="s">
        <v>413</v>
      </c>
      <c r="D22" s="6" t="s">
        <v>876</v>
      </c>
      <c r="H22" s="6">
        <v>1</v>
      </c>
      <c r="I22" s="6">
        <v>1</v>
      </c>
      <c r="L22" s="6" t="s">
        <v>407</v>
      </c>
      <c r="M22" s="6" t="s">
        <v>0</v>
      </c>
      <c r="N22" s="6" t="s">
        <v>197</v>
      </c>
      <c r="O22" s="6" t="s">
        <v>671</v>
      </c>
      <c r="P22" s="6" t="s">
        <v>672</v>
      </c>
      <c r="T22">
        <v>48.624836284600988</v>
      </c>
      <c r="U22">
        <v>39.93993176394563</v>
      </c>
      <c r="V22">
        <v>54.234991453522497</v>
      </c>
      <c r="W22">
        <v>69.94883369601942</v>
      </c>
      <c r="X22">
        <v>7.0286627446851838E-2</v>
      </c>
      <c r="Y22">
        <v>0.11278481265967751</v>
      </c>
      <c r="Z22" s="64">
        <v>42</v>
      </c>
      <c r="AA22" s="64"/>
      <c r="AB22" s="61"/>
      <c r="AC22" s="61"/>
      <c r="AD22" s="62"/>
      <c r="AE22" s="63"/>
      <c r="AF22" s="63"/>
      <c r="AG22" s="6" t="s">
        <v>411</v>
      </c>
      <c r="AH22" s="6" t="s">
        <v>412</v>
      </c>
      <c r="AI22" s="2"/>
      <c r="AJ22" s="3" t="s">
        <v>413</v>
      </c>
      <c r="AK22" s="3" t="s">
        <v>197</v>
      </c>
      <c r="AL22" s="6">
        <v>774</v>
      </c>
      <c r="EK22"/>
      <c r="EL22"/>
      <c r="EM22"/>
      <c r="EN22"/>
      <c r="EO22"/>
      <c r="EP22"/>
      <c r="EQ22"/>
      <c r="EW22" s="6">
        <v>100.3</v>
      </c>
      <c r="EX22" s="6">
        <v>393.3</v>
      </c>
      <c r="EY22" s="65">
        <v>717.17000000000007</v>
      </c>
      <c r="EZ22" s="6">
        <v>592.52333333333343</v>
      </c>
      <c r="FA22" s="6">
        <v>1726.8733333333332</v>
      </c>
      <c r="FB22" s="65"/>
      <c r="GD22"/>
    </row>
    <row r="23" spans="1:186" s="6" customFormat="1" x14ac:dyDescent="0.2">
      <c r="A23" s="60" t="s">
        <v>845</v>
      </c>
      <c r="B23" s="6" t="s">
        <v>582</v>
      </c>
      <c r="C23" s="6" t="s">
        <v>341</v>
      </c>
      <c r="D23" s="6" t="s">
        <v>255</v>
      </c>
      <c r="F23" s="6">
        <v>301730</v>
      </c>
      <c r="H23" s="6">
        <v>1</v>
      </c>
      <c r="I23" s="6">
        <v>1</v>
      </c>
      <c r="J23" s="6">
        <v>1</v>
      </c>
      <c r="L23" s="6" t="s">
        <v>337</v>
      </c>
      <c r="M23" s="6" t="s">
        <v>846</v>
      </c>
      <c r="N23" s="6" t="s">
        <v>201</v>
      </c>
      <c r="O23" s="6" t="s">
        <v>671</v>
      </c>
      <c r="P23" s="6" t="s">
        <v>672</v>
      </c>
      <c r="T23">
        <v>116.64912335004006</v>
      </c>
      <c r="U23">
        <v>51.059236543678914</v>
      </c>
      <c r="V23">
        <v>10000</v>
      </c>
      <c r="W23">
        <v>57.156423900557037</v>
      </c>
      <c r="X23">
        <v>4.3345340371912545E-2</v>
      </c>
      <c r="Y23">
        <v>6.5743778965867181E-2</v>
      </c>
      <c r="Z23"/>
      <c r="AA23"/>
      <c r="AB23" s="61"/>
      <c r="AC23" s="61"/>
      <c r="AD23" s="62"/>
      <c r="AE23" s="63"/>
      <c r="AF23" s="63"/>
      <c r="AG23" s="6" t="s">
        <v>339</v>
      </c>
      <c r="AH23" s="6" t="s">
        <v>340</v>
      </c>
      <c r="AI23" s="2"/>
      <c r="AJ23" s="3" t="s">
        <v>341</v>
      </c>
      <c r="AK23" s="3" t="s">
        <v>201</v>
      </c>
      <c r="AL23" s="6">
        <v>515</v>
      </c>
      <c r="AM23" s="6" t="s">
        <v>193</v>
      </c>
      <c r="EK23"/>
      <c r="EL23"/>
      <c r="EM23"/>
      <c r="EN23"/>
      <c r="EO23"/>
      <c r="EP23"/>
      <c r="EQ23"/>
      <c r="ER23" s="75">
        <v>0</v>
      </c>
      <c r="ES23" s="6">
        <v>0</v>
      </c>
      <c r="ET23" s="6">
        <v>5.5133333333333328</v>
      </c>
      <c r="EU23" s="6">
        <v>2.7266666666666666</v>
      </c>
      <c r="EV23" s="6">
        <v>2.1566666666666667</v>
      </c>
      <c r="FB23" s="6">
        <v>0</v>
      </c>
      <c r="FC23" s="6">
        <v>0</v>
      </c>
      <c r="FD23" s="6">
        <v>0</v>
      </c>
      <c r="FE23" s="6">
        <v>0</v>
      </c>
      <c r="FF23" s="6">
        <v>0</v>
      </c>
      <c r="FG23" s="6">
        <v>0</v>
      </c>
      <c r="FH23" s="6">
        <v>0</v>
      </c>
      <c r="FI23" s="6">
        <v>8.6349206349206338E-4</v>
      </c>
      <c r="FJ23" s="66">
        <v>0</v>
      </c>
      <c r="FK23" s="66">
        <v>0</v>
      </c>
      <c r="FL23" s="66">
        <v>0</v>
      </c>
      <c r="FM23" s="66">
        <v>0</v>
      </c>
      <c r="FN23" s="66">
        <v>0</v>
      </c>
      <c r="FO23" s="66">
        <v>0</v>
      </c>
      <c r="FP23" s="6">
        <v>0</v>
      </c>
      <c r="FQ23" s="6">
        <v>0</v>
      </c>
      <c r="FR23" s="66">
        <v>0</v>
      </c>
      <c r="FS23" s="6">
        <v>0</v>
      </c>
      <c r="FT23" s="6">
        <v>0</v>
      </c>
      <c r="FU23" s="6">
        <v>0</v>
      </c>
      <c r="FV23" s="6">
        <v>0</v>
      </c>
      <c r="FW23" s="6">
        <v>0</v>
      </c>
      <c r="FX23" s="6">
        <v>0</v>
      </c>
      <c r="FY23" s="6">
        <v>0</v>
      </c>
      <c r="FZ23" s="66">
        <v>0</v>
      </c>
      <c r="GA23" s="6">
        <v>0</v>
      </c>
      <c r="GB23" s="6">
        <v>0</v>
      </c>
      <c r="GC23" s="6">
        <v>0</v>
      </c>
      <c r="GD23"/>
    </row>
    <row r="24" spans="1:186" s="26" customFormat="1" x14ac:dyDescent="0.2">
      <c r="A24" s="68" t="s">
        <v>673</v>
      </c>
      <c r="B24" s="26" t="s">
        <v>140</v>
      </c>
      <c r="C24" s="26" t="s">
        <v>26</v>
      </c>
      <c r="D24" s="26" t="s">
        <v>255</v>
      </c>
      <c r="F24" s="26">
        <v>201</v>
      </c>
      <c r="G24" s="26">
        <v>1</v>
      </c>
      <c r="H24" s="26">
        <v>1</v>
      </c>
      <c r="I24" s="26">
        <v>1</v>
      </c>
      <c r="J24" s="26">
        <v>1</v>
      </c>
      <c r="L24" s="26" t="s">
        <v>378</v>
      </c>
      <c r="M24" s="26" t="s">
        <v>674</v>
      </c>
      <c r="N24" s="26" t="s">
        <v>188</v>
      </c>
      <c r="O24" s="26" t="s">
        <v>671</v>
      </c>
      <c r="P24" s="26" t="s">
        <v>672</v>
      </c>
      <c r="T24" s="39">
        <v>49.290280547214813</v>
      </c>
      <c r="U24" s="39">
        <v>8.5619673992258587</v>
      </c>
      <c r="V24" s="39">
        <v>53.797362980541862</v>
      </c>
      <c r="W24" s="39">
        <v>217.46280205508035</v>
      </c>
      <c r="X24" s="39">
        <v>2.4274426536912433E-2</v>
      </c>
      <c r="Y24" s="39">
        <v>0.2516561192996345</v>
      </c>
      <c r="Z24" s="39"/>
      <c r="AA24" s="39"/>
      <c r="AB24" s="70"/>
      <c r="AC24" s="70"/>
      <c r="AD24" s="71"/>
      <c r="AE24" s="72"/>
      <c r="AF24" s="72"/>
      <c r="AG24" s="26" t="s">
        <v>380</v>
      </c>
      <c r="AH24" s="26" t="s">
        <v>381</v>
      </c>
      <c r="AI24" s="27">
        <v>201</v>
      </c>
      <c r="AJ24" s="28" t="s">
        <v>26</v>
      </c>
      <c r="AK24" s="28" t="s">
        <v>188</v>
      </c>
      <c r="AL24" s="26">
        <v>694</v>
      </c>
      <c r="AM24" s="26" t="s">
        <v>246</v>
      </c>
      <c r="AO24" s="32">
        <v>0</v>
      </c>
      <c r="AP24" s="32">
        <v>0</v>
      </c>
      <c r="AQ24" s="32">
        <v>0</v>
      </c>
      <c r="AR24" s="32">
        <v>0</v>
      </c>
      <c r="AS24" s="32">
        <v>0</v>
      </c>
      <c r="AT24" s="32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2">
        <v>0</v>
      </c>
      <c r="BA24" s="33">
        <v>0</v>
      </c>
      <c r="BB24" s="33">
        <v>0</v>
      </c>
      <c r="BC24" s="33">
        <v>0</v>
      </c>
      <c r="BD24" s="33">
        <v>0</v>
      </c>
      <c r="BE24" s="33">
        <v>0</v>
      </c>
      <c r="BF24" s="33">
        <v>0</v>
      </c>
      <c r="BG24" s="33">
        <v>0</v>
      </c>
      <c r="BH24" s="33">
        <v>0</v>
      </c>
      <c r="BI24" s="33">
        <v>0</v>
      </c>
      <c r="BJ24" s="33">
        <v>0</v>
      </c>
      <c r="BK24" s="33">
        <v>0</v>
      </c>
      <c r="BL24" s="33">
        <v>0</v>
      </c>
      <c r="BM24" s="33">
        <v>0</v>
      </c>
      <c r="BN24" s="34">
        <v>0</v>
      </c>
      <c r="BO24" s="34">
        <v>0</v>
      </c>
      <c r="BP24" s="34">
        <v>0</v>
      </c>
      <c r="BQ24" s="34">
        <v>0</v>
      </c>
      <c r="BR24" s="34">
        <v>0</v>
      </c>
      <c r="BS24" s="34">
        <v>0</v>
      </c>
      <c r="BT24" s="34">
        <v>0</v>
      </c>
      <c r="BU24" s="34">
        <v>0</v>
      </c>
      <c r="BV24" s="34">
        <v>0</v>
      </c>
      <c r="BW24" s="34">
        <v>0</v>
      </c>
      <c r="BX24" s="34">
        <v>0</v>
      </c>
      <c r="BY24" s="34">
        <v>0</v>
      </c>
      <c r="BZ24" s="34">
        <v>0</v>
      </c>
      <c r="CA24" s="34">
        <v>0</v>
      </c>
      <c r="CB24" s="34">
        <v>0</v>
      </c>
      <c r="CC24" s="34">
        <v>0</v>
      </c>
      <c r="CD24" s="34">
        <v>0</v>
      </c>
      <c r="CE24" s="34">
        <v>0</v>
      </c>
      <c r="CF24" s="34">
        <v>0</v>
      </c>
      <c r="CG24" s="34">
        <v>0</v>
      </c>
      <c r="CH24" s="34">
        <v>0</v>
      </c>
      <c r="CI24" s="34">
        <v>0</v>
      </c>
      <c r="CJ24" s="34">
        <v>0</v>
      </c>
      <c r="CK24" s="34">
        <v>0</v>
      </c>
      <c r="CL24" s="34">
        <v>0</v>
      </c>
      <c r="CM24" s="34">
        <v>0</v>
      </c>
      <c r="CN24" s="34">
        <v>0</v>
      </c>
      <c r="CO24" s="34">
        <v>0</v>
      </c>
      <c r="CP24" s="34">
        <v>0</v>
      </c>
      <c r="CQ24" s="34">
        <v>0</v>
      </c>
      <c r="CR24" s="34">
        <v>0</v>
      </c>
      <c r="CS24" s="34">
        <v>0</v>
      </c>
      <c r="CT24" s="35">
        <v>0</v>
      </c>
      <c r="CU24" s="35">
        <v>0</v>
      </c>
      <c r="CV24" s="35">
        <v>0</v>
      </c>
      <c r="CW24" s="35">
        <v>0</v>
      </c>
      <c r="CX24" s="35">
        <v>0</v>
      </c>
      <c r="CY24" s="35">
        <v>0</v>
      </c>
      <c r="CZ24" s="35">
        <v>0</v>
      </c>
      <c r="DA24" s="35">
        <v>1040.1193109999999</v>
      </c>
      <c r="DB24" s="35">
        <v>16.1418672</v>
      </c>
      <c r="DC24" s="35">
        <v>0</v>
      </c>
      <c r="DD24" s="35">
        <v>0</v>
      </c>
      <c r="DE24" s="35">
        <v>10832.477661000001</v>
      </c>
      <c r="DF24" s="35">
        <v>0</v>
      </c>
      <c r="DG24" s="35">
        <v>0</v>
      </c>
      <c r="DH24" s="35">
        <v>0</v>
      </c>
      <c r="DI24" s="35">
        <v>0</v>
      </c>
      <c r="DJ24" s="35">
        <v>0</v>
      </c>
      <c r="DK24" s="35">
        <v>571.94688600000006</v>
      </c>
      <c r="DL24" s="35">
        <v>0</v>
      </c>
      <c r="DM24" s="35">
        <v>182.37926400000003</v>
      </c>
      <c r="DN24" s="35">
        <v>99.505538999999999</v>
      </c>
      <c r="DO24" s="35">
        <v>0</v>
      </c>
      <c r="DP24" s="35">
        <v>0</v>
      </c>
      <c r="DQ24" s="35">
        <v>42.947357200000006</v>
      </c>
      <c r="DR24" s="35">
        <v>0</v>
      </c>
      <c r="DS24" s="35">
        <v>39.770589600000001</v>
      </c>
      <c r="DT24" s="35">
        <v>0</v>
      </c>
      <c r="DU24" s="35">
        <v>0</v>
      </c>
      <c r="DV24" s="35">
        <v>0</v>
      </c>
      <c r="DW24" s="36">
        <v>0</v>
      </c>
      <c r="DX24" s="36">
        <v>0</v>
      </c>
      <c r="DY24" s="36">
        <v>0</v>
      </c>
      <c r="DZ24" s="36">
        <v>0</v>
      </c>
      <c r="EA24" s="36">
        <v>0</v>
      </c>
      <c r="EB24" s="29">
        <v>30.8</v>
      </c>
      <c r="EC24" s="29">
        <v>73.8</v>
      </c>
      <c r="ED24" s="29">
        <v>17.899999999999999</v>
      </c>
      <c r="EE24" s="29">
        <v>9.07</v>
      </c>
      <c r="EF24" s="29"/>
      <c r="EG24" s="29"/>
      <c r="EH24" s="29"/>
      <c r="EI24" s="29"/>
      <c r="EJ24" s="36"/>
      <c r="EK24" s="108">
        <v>0.89</v>
      </c>
      <c r="EL24" s="108">
        <v>0.89</v>
      </c>
      <c r="EM24" s="108">
        <v>0.89</v>
      </c>
      <c r="EN24" s="108">
        <v>0.89</v>
      </c>
      <c r="EO24" s="108">
        <v>0.89</v>
      </c>
      <c r="EP24" s="108"/>
      <c r="EQ24" s="108"/>
      <c r="FB24" s="26">
        <v>0</v>
      </c>
      <c r="FC24" s="26">
        <v>0.18869047619047619</v>
      </c>
      <c r="FD24" s="26">
        <v>0</v>
      </c>
      <c r="FE24" s="26">
        <v>0</v>
      </c>
      <c r="FF24" s="26">
        <v>0</v>
      </c>
      <c r="FG24" s="26">
        <v>3.6734523809523814</v>
      </c>
      <c r="FH24" s="26">
        <v>0</v>
      </c>
      <c r="FI24" s="26">
        <v>0</v>
      </c>
      <c r="FJ24" s="74">
        <v>0</v>
      </c>
      <c r="FK24" s="74">
        <v>3.9948433162311581</v>
      </c>
      <c r="FL24" s="74">
        <v>0</v>
      </c>
      <c r="FM24" s="74">
        <v>0</v>
      </c>
      <c r="FN24" s="74">
        <v>0</v>
      </c>
      <c r="FO24" s="74">
        <v>3.4466944444444447</v>
      </c>
      <c r="FP24" s="26">
        <v>0</v>
      </c>
      <c r="FQ24" s="26">
        <v>0</v>
      </c>
      <c r="FR24" s="74">
        <v>0</v>
      </c>
      <c r="FS24" s="26">
        <v>7.0883703703703693</v>
      </c>
      <c r="FT24" s="26">
        <v>0</v>
      </c>
      <c r="FU24" s="26">
        <v>0</v>
      </c>
      <c r="FV24" s="26">
        <v>0</v>
      </c>
      <c r="FW24" s="26">
        <v>2.0073055555555555</v>
      </c>
      <c r="FX24" s="26">
        <v>0</v>
      </c>
      <c r="FY24" s="26">
        <v>0</v>
      </c>
      <c r="FZ24" s="74">
        <v>0</v>
      </c>
      <c r="GA24" s="26">
        <v>1.4103333333333332</v>
      </c>
      <c r="GB24" s="26">
        <v>0</v>
      </c>
      <c r="GC24" s="26">
        <v>0</v>
      </c>
      <c r="GD24"/>
    </row>
    <row r="25" spans="1:186" s="6" customFormat="1" x14ac:dyDescent="0.2">
      <c r="A25" s="60" t="s">
        <v>858</v>
      </c>
      <c r="B25" s="6" t="s">
        <v>586</v>
      </c>
      <c r="C25" s="6" t="s">
        <v>329</v>
      </c>
      <c r="D25" s="6" t="s">
        <v>255</v>
      </c>
      <c r="F25" s="6">
        <v>301736</v>
      </c>
      <c r="H25" s="6">
        <v>1</v>
      </c>
      <c r="I25" s="6">
        <v>1</v>
      </c>
      <c r="J25" s="6">
        <v>1</v>
      </c>
      <c r="L25" s="6" t="s">
        <v>325</v>
      </c>
      <c r="M25" s="6" t="s">
        <v>859</v>
      </c>
      <c r="N25" s="6" t="s">
        <v>201</v>
      </c>
      <c r="O25" s="6" t="s">
        <v>671</v>
      </c>
      <c r="P25" s="6" t="s">
        <v>672</v>
      </c>
      <c r="T25">
        <v>0.81534116014619429</v>
      </c>
      <c r="U25">
        <v>0.24838616378760195</v>
      </c>
      <c r="V25">
        <v>44.045127651138777</v>
      </c>
      <c r="W25">
        <v>0.28203472832485982</v>
      </c>
      <c r="X25">
        <v>0.25037423164219674</v>
      </c>
      <c r="Y25">
        <v>0.94961664077337671</v>
      </c>
      <c r="Z25" s="64">
        <v>32</v>
      </c>
      <c r="AA25" s="64"/>
      <c r="AB25" s="61"/>
      <c r="AC25" s="61"/>
      <c r="AD25" s="62"/>
      <c r="AE25" s="63"/>
      <c r="AF25" s="63"/>
      <c r="AG25" s="6" t="s">
        <v>327</v>
      </c>
      <c r="AH25" s="6" t="s">
        <v>328</v>
      </c>
      <c r="AI25" s="2"/>
      <c r="AJ25" s="3" t="s">
        <v>329</v>
      </c>
      <c r="AK25" s="3" t="s">
        <v>201</v>
      </c>
      <c r="AL25" s="6">
        <v>511</v>
      </c>
      <c r="AM25" s="6" t="s">
        <v>193</v>
      </c>
      <c r="EK25"/>
      <c r="EL25"/>
      <c r="EM25"/>
      <c r="EN25"/>
      <c r="EO25"/>
      <c r="EP25"/>
      <c r="EQ25"/>
      <c r="ER25" s="75">
        <v>0</v>
      </c>
      <c r="ES25" s="6">
        <v>0</v>
      </c>
      <c r="ET25" s="6">
        <v>0</v>
      </c>
      <c r="EU25" s="6">
        <v>0</v>
      </c>
      <c r="EV25" s="6">
        <v>0</v>
      </c>
      <c r="FB25" s="6">
        <v>0</v>
      </c>
      <c r="FC25" s="6">
        <v>0</v>
      </c>
      <c r="FD25" s="6">
        <v>0</v>
      </c>
      <c r="FE25" s="6">
        <v>0</v>
      </c>
      <c r="FF25" s="6">
        <v>0</v>
      </c>
      <c r="FG25" s="6">
        <v>0</v>
      </c>
      <c r="FH25" s="6">
        <v>0</v>
      </c>
      <c r="FI25" s="6">
        <v>0</v>
      </c>
      <c r="FJ25" s="66">
        <v>0</v>
      </c>
      <c r="FK25" s="66">
        <v>0</v>
      </c>
      <c r="FL25" s="66">
        <v>0</v>
      </c>
      <c r="FM25" s="66">
        <v>0</v>
      </c>
      <c r="FN25" s="66">
        <v>0</v>
      </c>
      <c r="FO25" s="66">
        <v>0</v>
      </c>
      <c r="FP25" s="6">
        <v>0</v>
      </c>
      <c r="FQ25" s="6">
        <v>0</v>
      </c>
      <c r="FR25" s="66">
        <v>0</v>
      </c>
      <c r="FS25" s="6">
        <v>0</v>
      </c>
      <c r="FT25" s="6">
        <v>0</v>
      </c>
      <c r="FU25" s="6">
        <v>0</v>
      </c>
      <c r="FV25" s="6">
        <v>0</v>
      </c>
      <c r="FW25" s="6">
        <v>0</v>
      </c>
      <c r="FX25" s="6">
        <v>0</v>
      </c>
      <c r="FY25" s="6">
        <v>0</v>
      </c>
      <c r="FZ25" s="66">
        <v>0</v>
      </c>
      <c r="GA25" s="6">
        <v>0</v>
      </c>
      <c r="GB25" s="6">
        <v>0</v>
      </c>
      <c r="GC25" s="6">
        <v>0</v>
      </c>
      <c r="GD25"/>
    </row>
    <row r="26" spans="1:186" s="6" customFormat="1" x14ac:dyDescent="0.2">
      <c r="A26" s="60" t="s">
        <v>912</v>
      </c>
      <c r="B26" s="6" t="s">
        <v>318</v>
      </c>
      <c r="C26" s="6" t="s">
        <v>320</v>
      </c>
      <c r="D26" s="6" t="s">
        <v>876</v>
      </c>
      <c r="H26" s="6">
        <v>1</v>
      </c>
      <c r="I26" s="6">
        <v>1</v>
      </c>
      <c r="L26" s="6" t="s">
        <v>316</v>
      </c>
      <c r="M26" s="6" t="s">
        <v>913</v>
      </c>
      <c r="N26" s="6" t="s">
        <v>197</v>
      </c>
      <c r="O26" s="6" t="s">
        <v>671</v>
      </c>
      <c r="P26" s="6" t="s">
        <v>672</v>
      </c>
      <c r="T26">
        <v>2.1903133712344816</v>
      </c>
      <c r="U26">
        <v>1.7345725751557977</v>
      </c>
      <c r="V26">
        <v>5.7369207743110984</v>
      </c>
      <c r="W26">
        <v>3.5806736674985684</v>
      </c>
      <c r="X26">
        <v>0.88984211368259991</v>
      </c>
      <c r="Y26">
        <v>0.93233158543430106</v>
      </c>
      <c r="Z26" s="64">
        <v>107</v>
      </c>
      <c r="AA26" s="64"/>
      <c r="AB26" s="61"/>
      <c r="AC26" s="61"/>
      <c r="AD26" s="62"/>
      <c r="AE26" s="63"/>
      <c r="AF26" s="63"/>
      <c r="AG26" s="6" t="s">
        <v>318</v>
      </c>
      <c r="AH26" s="6" t="s">
        <v>319</v>
      </c>
      <c r="AI26" s="2"/>
      <c r="AJ26" s="3" t="s">
        <v>320</v>
      </c>
      <c r="AK26" s="3" t="s">
        <v>197</v>
      </c>
      <c r="AL26" s="6">
        <v>502</v>
      </c>
      <c r="EB26" s="19"/>
      <c r="EC26" s="19"/>
      <c r="ED26" s="19"/>
      <c r="EE26" s="19"/>
      <c r="EF26" s="19"/>
      <c r="EG26" s="19"/>
      <c r="EH26" s="19"/>
      <c r="EI26" s="19"/>
      <c r="EK26"/>
      <c r="EL26"/>
      <c r="EM26"/>
      <c r="EN26"/>
      <c r="EO26"/>
      <c r="EP26"/>
      <c r="EQ26"/>
      <c r="EW26" s="6">
        <v>3847.53</v>
      </c>
      <c r="EX26" s="6">
        <v>5232.78</v>
      </c>
      <c r="EY26" s="65">
        <v>199.17</v>
      </c>
      <c r="EZ26" s="6">
        <v>531.14333333333332</v>
      </c>
      <c r="FA26" s="6">
        <v>1048.7666666666667</v>
      </c>
      <c r="GD26"/>
    </row>
    <row r="27" spans="1:186" s="26" customFormat="1" x14ac:dyDescent="0.2">
      <c r="A27" s="68" t="s">
        <v>756</v>
      </c>
      <c r="B27" s="26" t="s">
        <v>171</v>
      </c>
      <c r="C27" s="26" t="s">
        <v>116</v>
      </c>
      <c r="D27" s="26" t="s">
        <v>255</v>
      </c>
      <c r="F27" s="26">
        <v>300406</v>
      </c>
      <c r="G27" s="26">
        <v>1</v>
      </c>
      <c r="H27" s="26">
        <v>1</v>
      </c>
      <c r="I27" s="26">
        <v>1</v>
      </c>
      <c r="J27" s="26">
        <v>1</v>
      </c>
      <c r="L27" s="26" t="s">
        <v>482</v>
      </c>
      <c r="M27" s="26" t="s">
        <v>757</v>
      </c>
      <c r="N27" s="26" t="s">
        <v>473</v>
      </c>
      <c r="O27" s="26" t="s">
        <v>671</v>
      </c>
      <c r="P27" s="26" t="s">
        <v>672</v>
      </c>
      <c r="T27" s="39">
        <v>10000</v>
      </c>
      <c r="U27" s="39">
        <v>10000</v>
      </c>
      <c r="V27" s="39">
        <v>10000</v>
      </c>
      <c r="W27" s="39">
        <v>10000</v>
      </c>
      <c r="X27" s="39">
        <v>3.1249976819664578E-2</v>
      </c>
      <c r="Y27" s="39">
        <v>7.5403168723259639E-2</v>
      </c>
      <c r="Z27" s="69">
        <v>117</v>
      </c>
      <c r="AA27" s="69"/>
      <c r="AB27" s="70"/>
      <c r="AC27" s="70"/>
      <c r="AD27" s="71"/>
      <c r="AE27" s="72"/>
      <c r="AF27" s="72"/>
      <c r="AG27" s="26" t="s">
        <v>481</v>
      </c>
      <c r="AH27" s="26" t="s">
        <v>482</v>
      </c>
      <c r="AI27" s="27">
        <v>300406</v>
      </c>
      <c r="AJ27" s="28" t="s">
        <v>116</v>
      </c>
      <c r="AK27" s="28" t="s">
        <v>473</v>
      </c>
      <c r="AL27" s="26">
        <v>1613</v>
      </c>
      <c r="AM27" s="26" t="s">
        <v>246</v>
      </c>
      <c r="DW27" s="36">
        <v>0</v>
      </c>
      <c r="DX27" s="36">
        <v>0</v>
      </c>
      <c r="DY27" s="36">
        <v>0</v>
      </c>
      <c r="DZ27" s="36">
        <v>0</v>
      </c>
      <c r="EA27" s="36">
        <v>0</v>
      </c>
      <c r="EB27" s="29">
        <v>0</v>
      </c>
      <c r="EC27" s="29">
        <v>0</v>
      </c>
      <c r="ED27" s="29">
        <v>0</v>
      </c>
      <c r="EE27" s="29">
        <v>0</v>
      </c>
      <c r="EF27" s="29"/>
      <c r="EG27" s="29"/>
      <c r="EH27" s="29"/>
      <c r="EI27" s="29"/>
      <c r="EJ27" s="36"/>
      <c r="EK27" s="108">
        <v>1.42</v>
      </c>
      <c r="EL27" s="108">
        <v>1.42</v>
      </c>
      <c r="EM27" s="108">
        <v>1.42</v>
      </c>
      <c r="EN27" s="108">
        <v>1.42</v>
      </c>
      <c r="EO27" s="108">
        <v>1.42</v>
      </c>
      <c r="EP27" s="108"/>
      <c r="EQ27" s="108"/>
      <c r="ER27" s="73">
        <v>82.943333333333328</v>
      </c>
      <c r="ES27" s="26">
        <v>81.614444444444445</v>
      </c>
      <c r="ET27" s="26">
        <v>53.291486920448335</v>
      </c>
      <c r="EU27" s="26">
        <v>46.293333333333329</v>
      </c>
      <c r="EV27" s="26">
        <v>0</v>
      </c>
      <c r="FB27" s="30">
        <v>0</v>
      </c>
      <c r="FC27" s="30">
        <v>0</v>
      </c>
      <c r="FD27" s="26">
        <v>0</v>
      </c>
      <c r="FE27" s="26">
        <v>0</v>
      </c>
      <c r="FF27" s="26">
        <v>0</v>
      </c>
      <c r="FG27" s="26">
        <v>3.5476571428571426</v>
      </c>
      <c r="FH27" s="26">
        <v>0</v>
      </c>
      <c r="FI27" s="26">
        <v>0</v>
      </c>
      <c r="FJ27" s="74">
        <v>0</v>
      </c>
      <c r="FK27" s="74">
        <v>8.3076000000000008</v>
      </c>
      <c r="FL27" s="74">
        <v>0</v>
      </c>
      <c r="FM27" s="74">
        <v>0</v>
      </c>
      <c r="FN27" s="74">
        <v>0</v>
      </c>
      <c r="FO27" s="74">
        <v>5.7266666666666666</v>
      </c>
      <c r="FP27" s="26">
        <v>0</v>
      </c>
      <c r="FQ27" s="26">
        <v>0</v>
      </c>
      <c r="FR27" s="74">
        <v>0</v>
      </c>
      <c r="FS27" s="26">
        <v>5.6777444444444445</v>
      </c>
      <c r="FT27" s="26">
        <v>0</v>
      </c>
      <c r="FU27" s="26">
        <v>0</v>
      </c>
      <c r="FV27" s="26">
        <v>0</v>
      </c>
      <c r="FW27" s="26">
        <v>2.8002833333333328</v>
      </c>
      <c r="FX27" s="26">
        <v>0</v>
      </c>
      <c r="FY27" s="26">
        <v>0</v>
      </c>
      <c r="FZ27" s="74">
        <v>0</v>
      </c>
      <c r="GA27" s="26">
        <v>2.8486857142857138</v>
      </c>
      <c r="GB27" s="26">
        <v>0</v>
      </c>
      <c r="GC27" s="26">
        <v>0</v>
      </c>
      <c r="GD27"/>
    </row>
    <row r="28" spans="1:186" s="26" customFormat="1" x14ac:dyDescent="0.2">
      <c r="A28" s="68" t="s">
        <v>733</v>
      </c>
      <c r="B28" s="26" t="s">
        <v>170</v>
      </c>
      <c r="C28" s="26" t="s">
        <v>117</v>
      </c>
      <c r="D28" s="26" t="s">
        <v>255</v>
      </c>
      <c r="F28" s="26">
        <v>300291</v>
      </c>
      <c r="G28" s="26">
        <v>1</v>
      </c>
      <c r="H28" s="26">
        <v>1</v>
      </c>
      <c r="I28" s="26">
        <v>1</v>
      </c>
      <c r="J28" s="26">
        <v>1</v>
      </c>
      <c r="L28" s="26" t="s">
        <v>480</v>
      </c>
      <c r="M28" s="26" t="s">
        <v>734</v>
      </c>
      <c r="N28" s="26" t="s">
        <v>473</v>
      </c>
      <c r="O28" s="26" t="s">
        <v>671</v>
      </c>
      <c r="P28" s="26" t="s">
        <v>672</v>
      </c>
      <c r="S28" s="26">
        <v>1</v>
      </c>
      <c r="T28" s="39">
        <v>5.0813522953279469</v>
      </c>
      <c r="U28" s="39">
        <v>4.9506314108807068</v>
      </c>
      <c r="V28" s="39">
        <v>5.5975064705052935</v>
      </c>
      <c r="W28" s="39">
        <v>5.417769744116594</v>
      </c>
      <c r="X28" s="39">
        <v>9.6255751965658429E-2</v>
      </c>
      <c r="Y28" s="39">
        <v>0.11081388008531026</v>
      </c>
      <c r="Z28" s="69">
        <v>20</v>
      </c>
      <c r="AA28" s="69"/>
      <c r="AB28" s="70"/>
      <c r="AC28" s="70"/>
      <c r="AD28" s="71"/>
      <c r="AE28" s="72"/>
      <c r="AF28" s="72"/>
      <c r="AG28" s="26" t="s">
        <v>479</v>
      </c>
      <c r="AH28" s="26" t="s">
        <v>480</v>
      </c>
      <c r="AI28" s="27">
        <v>300291</v>
      </c>
      <c r="AJ28" s="28" t="s">
        <v>117</v>
      </c>
      <c r="AK28" s="28" t="s">
        <v>473</v>
      </c>
      <c r="AL28" s="26">
        <v>1612</v>
      </c>
      <c r="AM28" s="26" t="s">
        <v>246</v>
      </c>
      <c r="DW28" s="36">
        <v>0</v>
      </c>
      <c r="DX28" s="36">
        <v>0</v>
      </c>
      <c r="DY28" s="36">
        <v>0</v>
      </c>
      <c r="DZ28" s="36">
        <v>0</v>
      </c>
      <c r="EA28" s="36">
        <v>0</v>
      </c>
      <c r="EB28" s="29">
        <v>0</v>
      </c>
      <c r="EC28" s="29">
        <v>0</v>
      </c>
      <c r="ED28" s="29">
        <v>0</v>
      </c>
      <c r="EE28" s="29">
        <v>0</v>
      </c>
      <c r="EF28" s="29"/>
      <c r="EG28" s="29"/>
      <c r="EH28" s="29"/>
      <c r="EI28" s="29"/>
      <c r="EJ28" s="36"/>
      <c r="EK28" s="108">
        <v>0.52</v>
      </c>
      <c r="EL28" s="108">
        <v>0.52</v>
      </c>
      <c r="EM28" s="108">
        <v>0.52</v>
      </c>
      <c r="EN28" s="108">
        <v>0.52</v>
      </c>
      <c r="EO28" s="108">
        <v>0.52</v>
      </c>
      <c r="EP28" s="108"/>
      <c r="EQ28" s="108"/>
      <c r="ER28" s="73">
        <v>63.446666666666665</v>
      </c>
      <c r="ES28" s="26">
        <v>60.56111111111111</v>
      </c>
      <c r="ET28" s="26">
        <v>0</v>
      </c>
      <c r="EU28" s="26">
        <v>40.250000000000007</v>
      </c>
      <c r="EV28" s="26">
        <v>0</v>
      </c>
      <c r="FB28" s="26">
        <v>0</v>
      </c>
      <c r="FC28" s="26">
        <v>0</v>
      </c>
      <c r="FD28" s="26">
        <v>0</v>
      </c>
      <c r="FE28" s="26">
        <v>0</v>
      </c>
      <c r="FF28" s="26">
        <v>0</v>
      </c>
      <c r="FG28" s="26">
        <v>8.8691428571428563</v>
      </c>
      <c r="FH28" s="26">
        <v>0</v>
      </c>
      <c r="FI28" s="26">
        <v>0</v>
      </c>
      <c r="FJ28" s="74">
        <v>0</v>
      </c>
      <c r="FK28" s="74">
        <v>17.307500000000001</v>
      </c>
      <c r="FL28" s="74">
        <v>0</v>
      </c>
      <c r="FM28" s="74">
        <v>0</v>
      </c>
      <c r="FN28" s="74">
        <v>0</v>
      </c>
      <c r="FO28" s="74">
        <v>4.9392500000000004</v>
      </c>
      <c r="FP28" s="26">
        <v>0</v>
      </c>
      <c r="FQ28" s="26">
        <v>0</v>
      </c>
      <c r="FR28" s="74">
        <v>0</v>
      </c>
      <c r="FS28" s="26">
        <v>3.8161888888888886</v>
      </c>
      <c r="FT28" s="26">
        <v>0</v>
      </c>
      <c r="FU28" s="26">
        <v>0</v>
      </c>
      <c r="FV28" s="26">
        <v>0</v>
      </c>
      <c r="FW28" s="26">
        <v>1.8422916666666669</v>
      </c>
      <c r="FX28" s="26">
        <v>0</v>
      </c>
      <c r="FY28" s="26">
        <v>0</v>
      </c>
      <c r="FZ28" s="74">
        <v>0</v>
      </c>
      <c r="GA28" s="26">
        <v>1.8775428571428572</v>
      </c>
      <c r="GB28" s="26">
        <v>0</v>
      </c>
      <c r="GC28" s="26">
        <v>0</v>
      </c>
      <c r="GD28"/>
    </row>
    <row r="29" spans="1:186" s="26" customFormat="1" x14ac:dyDescent="0.2">
      <c r="A29" s="68" t="s">
        <v>747</v>
      </c>
      <c r="B29" s="26" t="s">
        <v>148</v>
      </c>
      <c r="C29" s="26" t="s">
        <v>112</v>
      </c>
      <c r="D29" s="26" t="s">
        <v>255</v>
      </c>
      <c r="F29" s="26">
        <v>300336</v>
      </c>
      <c r="G29" s="26">
        <v>1</v>
      </c>
      <c r="H29" s="26">
        <v>1</v>
      </c>
      <c r="I29" s="26">
        <v>1</v>
      </c>
      <c r="J29" s="26">
        <v>1</v>
      </c>
      <c r="L29" s="26" t="s">
        <v>472</v>
      </c>
      <c r="M29" s="26" t="s">
        <v>748</v>
      </c>
      <c r="N29" s="26" t="s">
        <v>473</v>
      </c>
      <c r="O29" s="26" t="s">
        <v>671</v>
      </c>
      <c r="P29" s="26" t="s">
        <v>672</v>
      </c>
      <c r="T29" s="39">
        <v>5.2851161894398695</v>
      </c>
      <c r="U29" s="39">
        <v>5.0831471403241224</v>
      </c>
      <c r="V29" s="39">
        <v>5.9294976362620435</v>
      </c>
      <c r="W29" s="39">
        <v>5.4551432096015482</v>
      </c>
      <c r="X29" s="39">
        <v>3.2611630783521334E-2</v>
      </c>
      <c r="Y29" s="39">
        <v>3.9265034565361623E-2</v>
      </c>
      <c r="Z29" s="69">
        <v>5</v>
      </c>
      <c r="AA29" s="69"/>
      <c r="AB29" s="70"/>
      <c r="AC29" s="70"/>
      <c r="AD29" s="71"/>
      <c r="AE29" s="72"/>
      <c r="AF29" s="72"/>
      <c r="AG29" s="26" t="s">
        <v>111</v>
      </c>
      <c r="AH29" s="26" t="s">
        <v>472</v>
      </c>
      <c r="AI29" s="27">
        <v>300336</v>
      </c>
      <c r="AJ29" s="28" t="s">
        <v>112</v>
      </c>
      <c r="AK29" s="28" t="s">
        <v>473</v>
      </c>
      <c r="AL29" s="26">
        <v>1449</v>
      </c>
      <c r="AM29" s="26" t="s">
        <v>246</v>
      </c>
      <c r="DW29" s="36">
        <v>0</v>
      </c>
      <c r="DX29" s="36">
        <v>0</v>
      </c>
      <c r="DY29" s="36">
        <v>3.6</v>
      </c>
      <c r="DZ29" s="36">
        <v>0</v>
      </c>
      <c r="EA29" s="36">
        <v>0</v>
      </c>
      <c r="EB29" s="29">
        <v>3.35</v>
      </c>
      <c r="EC29" s="29">
        <v>6.63</v>
      </c>
      <c r="ED29" s="29">
        <v>3.29</v>
      </c>
      <c r="EE29" s="29">
        <v>3.3</v>
      </c>
      <c r="EF29" s="29"/>
      <c r="EG29" s="29"/>
      <c r="EH29" s="29"/>
      <c r="EI29" s="29"/>
      <c r="EJ29" s="36"/>
      <c r="EK29" s="108">
        <v>0.7</v>
      </c>
      <c r="EL29" s="108">
        <v>0.7</v>
      </c>
      <c r="EM29" s="108">
        <v>0.7</v>
      </c>
      <c r="EN29" s="108">
        <v>0.7</v>
      </c>
      <c r="EO29" s="108">
        <v>0.7</v>
      </c>
      <c r="EP29" s="108"/>
      <c r="EQ29" s="108"/>
      <c r="ER29" s="73">
        <v>75.836666666666659</v>
      </c>
      <c r="ES29" s="26">
        <v>68.673333333333332</v>
      </c>
      <c r="ET29" s="26">
        <v>2.3515677772365282</v>
      </c>
      <c r="EU29" s="26">
        <v>99.112766695837266</v>
      </c>
      <c r="EV29" s="26">
        <v>0</v>
      </c>
      <c r="FB29" s="30">
        <v>0</v>
      </c>
      <c r="FC29" s="30">
        <v>0</v>
      </c>
      <c r="FD29" s="26">
        <v>0</v>
      </c>
      <c r="FE29" s="26">
        <v>0</v>
      </c>
      <c r="FF29" s="26">
        <v>0</v>
      </c>
      <c r="FG29" s="26">
        <v>2.9026285714285711</v>
      </c>
      <c r="FH29" s="26">
        <v>0</v>
      </c>
      <c r="FI29" s="26">
        <v>0</v>
      </c>
      <c r="FJ29" s="74">
        <v>0</v>
      </c>
      <c r="FK29" s="74">
        <v>8.3076000000000008</v>
      </c>
      <c r="FL29" s="74">
        <v>0</v>
      </c>
      <c r="FM29" s="74">
        <v>0</v>
      </c>
      <c r="FN29" s="74">
        <v>0</v>
      </c>
      <c r="FO29" s="74">
        <v>9.3058333333333323</v>
      </c>
      <c r="FP29" s="26">
        <v>0</v>
      </c>
      <c r="FQ29" s="26">
        <v>0</v>
      </c>
      <c r="FR29" s="74">
        <v>0</v>
      </c>
      <c r="FS29" s="26">
        <v>11.169333333333332</v>
      </c>
      <c r="FT29" s="26">
        <v>0</v>
      </c>
      <c r="FU29" s="26">
        <v>0</v>
      </c>
      <c r="FV29" s="26">
        <v>0</v>
      </c>
      <c r="FW29" s="26">
        <v>6.9270166666666668</v>
      </c>
      <c r="FX29" s="26">
        <v>0</v>
      </c>
      <c r="FY29" s="26">
        <v>0</v>
      </c>
      <c r="FZ29" s="74">
        <v>0</v>
      </c>
      <c r="GA29" s="26">
        <v>7.121714285714285</v>
      </c>
      <c r="GB29" s="26">
        <v>0</v>
      </c>
      <c r="GC29" s="26">
        <v>0</v>
      </c>
      <c r="GD29"/>
    </row>
    <row r="30" spans="1:186" s="26" customFormat="1" x14ac:dyDescent="0.2">
      <c r="A30" s="68" t="s">
        <v>700</v>
      </c>
      <c r="B30" s="26" t="s">
        <v>134</v>
      </c>
      <c r="C30" s="26" t="s">
        <v>22</v>
      </c>
      <c r="D30" s="26" t="s">
        <v>255</v>
      </c>
      <c r="F30" s="26">
        <v>277</v>
      </c>
      <c r="G30" s="26">
        <v>1</v>
      </c>
      <c r="H30" s="26">
        <v>1</v>
      </c>
      <c r="I30" s="26">
        <v>1</v>
      </c>
      <c r="J30" s="26">
        <v>1</v>
      </c>
      <c r="L30" s="26" t="s">
        <v>701</v>
      </c>
      <c r="M30" s="26" t="s">
        <v>702</v>
      </c>
      <c r="N30" s="26" t="s">
        <v>427</v>
      </c>
      <c r="O30" s="26" t="s">
        <v>692</v>
      </c>
      <c r="P30" s="26" t="s">
        <v>693</v>
      </c>
      <c r="T30" s="39">
        <v>10000</v>
      </c>
      <c r="U30" s="39">
        <v>17.663889194309043</v>
      </c>
      <c r="V30" s="39">
        <v>10000</v>
      </c>
      <c r="W30" s="39">
        <v>316.22003222747696</v>
      </c>
      <c r="X30" s="39">
        <v>4.7162018144785885E-2</v>
      </c>
      <c r="Y30" s="39">
        <v>8.4659710952636996E-2</v>
      </c>
      <c r="Z30" s="69">
        <v>66</v>
      </c>
      <c r="AA30" s="79">
        <v>8.9999999999999993E-3</v>
      </c>
      <c r="AB30" s="56">
        <v>5.49E-5</v>
      </c>
      <c r="AC30" s="57">
        <v>3.3099999999999997E-2</v>
      </c>
      <c r="AD30" s="58">
        <v>4.66</v>
      </c>
      <c r="AE30" s="58">
        <v>69.2</v>
      </c>
      <c r="AF30" s="58">
        <v>29.2</v>
      </c>
      <c r="AG30" s="26" t="s">
        <v>459</v>
      </c>
      <c r="AH30" s="26" t="s">
        <v>460</v>
      </c>
      <c r="AI30" s="27">
        <v>277</v>
      </c>
      <c r="AJ30" s="28" t="s">
        <v>22</v>
      </c>
      <c r="AK30" s="28" t="s">
        <v>427</v>
      </c>
      <c r="AL30" s="26">
        <v>1179</v>
      </c>
      <c r="AM30" s="26" t="s">
        <v>246</v>
      </c>
      <c r="AN30" s="26" t="s">
        <v>461</v>
      </c>
      <c r="AO30" s="32">
        <v>12.66</v>
      </c>
      <c r="AP30" s="32">
        <v>0</v>
      </c>
      <c r="AQ30" s="32">
        <v>47.93</v>
      </c>
      <c r="AR30" s="32">
        <v>86.8</v>
      </c>
      <c r="AS30" s="32">
        <v>157.79</v>
      </c>
      <c r="AT30" s="32">
        <v>30.32</v>
      </c>
      <c r="AU30" s="32">
        <v>15.71</v>
      </c>
      <c r="AV30" s="32">
        <v>296.47000000000003</v>
      </c>
      <c r="AW30" s="32">
        <v>119.09</v>
      </c>
      <c r="AX30" s="32">
        <v>101.03</v>
      </c>
      <c r="AY30" s="32">
        <v>101.03</v>
      </c>
      <c r="AZ30" s="32">
        <v>14.3</v>
      </c>
      <c r="BA30" s="33">
        <v>9.8027160000000002</v>
      </c>
      <c r="BB30" s="33">
        <v>0</v>
      </c>
      <c r="BC30" s="33">
        <v>20.276098199999996</v>
      </c>
      <c r="BD30" s="33">
        <v>34.675516800000004</v>
      </c>
      <c r="BE30" s="33">
        <v>40.602049199999996</v>
      </c>
      <c r="BF30" s="33">
        <v>14.53504</v>
      </c>
      <c r="BG30" s="33">
        <v>8.7573971999999998</v>
      </c>
      <c r="BH30" s="33">
        <v>41.9306512</v>
      </c>
      <c r="BI30" s="33">
        <v>31.033467600000005</v>
      </c>
      <c r="BJ30" s="33">
        <v>43.850505600000005</v>
      </c>
      <c r="BK30" s="33">
        <v>33.258771599999996</v>
      </c>
      <c r="BL30" s="33">
        <v>32.064775599999997</v>
      </c>
      <c r="BM30" s="33">
        <v>7.1743861999999989</v>
      </c>
      <c r="BN30" s="34">
        <v>14.3036864</v>
      </c>
      <c r="BO30" s="34">
        <v>12.343617000000002</v>
      </c>
      <c r="BP30" s="34">
        <v>34.068806399999993</v>
      </c>
      <c r="BQ30" s="34">
        <v>55.987997400000005</v>
      </c>
      <c r="BR30" s="34">
        <v>87.062553200000011</v>
      </c>
      <c r="BS30" s="34">
        <v>24.921792</v>
      </c>
      <c r="BT30" s="34">
        <v>52.911169999999998</v>
      </c>
      <c r="BU30" s="34">
        <v>45.632100000000001</v>
      </c>
      <c r="BV30" s="34">
        <v>23.857484999999997</v>
      </c>
      <c r="BW30" s="34">
        <v>26.251661999999996</v>
      </c>
      <c r="BX30" s="34">
        <v>30.470635000000005</v>
      </c>
      <c r="BY30" s="34">
        <v>60.6872112</v>
      </c>
      <c r="BZ30" s="34">
        <v>112.06792799999999</v>
      </c>
      <c r="CA30" s="34">
        <v>38.935573599999998</v>
      </c>
      <c r="CB30" s="34">
        <v>70.128171000000009</v>
      </c>
      <c r="CC30" s="34">
        <v>45.136057000000001</v>
      </c>
      <c r="CD30" s="34">
        <v>35.208119600000003</v>
      </c>
      <c r="CE30" s="34">
        <v>25.021427200000005</v>
      </c>
      <c r="CF30" s="34">
        <v>0</v>
      </c>
      <c r="CG30" s="34">
        <v>40.598734</v>
      </c>
      <c r="CH30" s="34">
        <v>52.938204000000006</v>
      </c>
      <c r="CI30" s="34">
        <v>151.71763680000001</v>
      </c>
      <c r="CJ30" s="34">
        <v>15.223371599999998</v>
      </c>
      <c r="CK30" s="34">
        <v>21.185998200000004</v>
      </c>
      <c r="CL30" s="34">
        <v>17.999117999999999</v>
      </c>
      <c r="CM30" s="34">
        <v>8.0712346000000004</v>
      </c>
      <c r="CN30" s="34">
        <v>31.160487999999997</v>
      </c>
      <c r="CO30" s="34">
        <v>31.982628000000002</v>
      </c>
      <c r="CP30" s="34">
        <v>8.7327629999999985</v>
      </c>
      <c r="CQ30" s="34">
        <v>42.324719400000006</v>
      </c>
      <c r="CR30" s="34">
        <v>14.4106144</v>
      </c>
      <c r="CS30" s="34">
        <v>8.4830910000000017</v>
      </c>
      <c r="CT30" s="35">
        <v>0</v>
      </c>
      <c r="CU30" s="35">
        <v>0</v>
      </c>
      <c r="CV30" s="35">
        <v>0</v>
      </c>
      <c r="CW30" s="35">
        <v>0</v>
      </c>
      <c r="CX30" s="35">
        <v>0</v>
      </c>
      <c r="CY30" s="35">
        <v>0</v>
      </c>
      <c r="CZ30" s="35">
        <v>0</v>
      </c>
      <c r="DA30" s="35">
        <v>40.553849999999997</v>
      </c>
      <c r="DB30" s="35">
        <v>9.1732469999999999</v>
      </c>
      <c r="DC30" s="35">
        <v>29.48686</v>
      </c>
      <c r="DD30" s="35">
        <v>29.489317000000003</v>
      </c>
      <c r="DE30" s="35">
        <v>55.544227200000002</v>
      </c>
      <c r="DF30" s="35">
        <v>61.635464000000006</v>
      </c>
      <c r="DG30" s="35">
        <v>31.973128200000001</v>
      </c>
      <c r="DH30" s="35">
        <v>15.107999200000002</v>
      </c>
      <c r="DI30" s="35">
        <v>43.922821800000008</v>
      </c>
      <c r="DJ30" s="35">
        <v>29.120134400000005</v>
      </c>
      <c r="DK30" s="35">
        <v>28.6842364</v>
      </c>
      <c r="DL30" s="35">
        <v>11.201982399999999</v>
      </c>
      <c r="DM30" s="35">
        <v>7.8893316000000002</v>
      </c>
      <c r="DN30" s="35">
        <v>0</v>
      </c>
      <c r="DO30" s="35">
        <v>8.5054683999999998</v>
      </c>
      <c r="DP30" s="35">
        <v>0</v>
      </c>
      <c r="DQ30" s="35">
        <v>0</v>
      </c>
      <c r="DR30" s="35">
        <v>64.97</v>
      </c>
      <c r="DS30" s="35">
        <v>11.73</v>
      </c>
      <c r="DT30" s="35">
        <v>36.06</v>
      </c>
      <c r="DU30" s="35">
        <v>84.31</v>
      </c>
      <c r="DV30" s="35">
        <v>26.84</v>
      </c>
      <c r="DW30" s="36">
        <v>6.3</v>
      </c>
      <c r="DX30" s="36">
        <v>6.6</v>
      </c>
      <c r="DY30" s="36">
        <v>17</v>
      </c>
      <c r="DZ30" s="36">
        <v>11</v>
      </c>
      <c r="EA30" s="36">
        <v>6.6</v>
      </c>
      <c r="EB30" s="29">
        <v>38.1</v>
      </c>
      <c r="EC30" s="29">
        <v>99</v>
      </c>
      <c r="ED30" s="29">
        <v>23.1</v>
      </c>
      <c r="EE30" s="29">
        <v>18.899999999999999</v>
      </c>
      <c r="EF30" s="30">
        <v>1970</v>
      </c>
      <c r="EG30" s="26">
        <v>0</v>
      </c>
      <c r="EH30" s="26">
        <v>0</v>
      </c>
      <c r="EI30" s="26">
        <v>0</v>
      </c>
      <c r="EJ30" s="26">
        <v>0</v>
      </c>
      <c r="EK30" s="108">
        <v>2.69</v>
      </c>
      <c r="EL30" s="108">
        <v>2.41</v>
      </c>
      <c r="EM30" s="108">
        <v>1.83</v>
      </c>
      <c r="EN30" s="108">
        <v>1.6</v>
      </c>
      <c r="EO30" s="108">
        <v>2.5499999999999998</v>
      </c>
      <c r="EP30" s="108"/>
      <c r="EQ30" s="108"/>
      <c r="ER30" s="73">
        <v>153.51666666666668</v>
      </c>
      <c r="ES30" s="26">
        <v>927.00666666666666</v>
      </c>
      <c r="ET30" s="26">
        <v>8.3866666666666649</v>
      </c>
      <c r="EU30" s="26">
        <v>250.23666666666668</v>
      </c>
      <c r="EV30" s="26">
        <v>4.3966666666666665</v>
      </c>
      <c r="FB30" s="26">
        <v>0</v>
      </c>
      <c r="FC30" s="26">
        <v>0.10634126984126982</v>
      </c>
      <c r="FD30" s="26">
        <v>0</v>
      </c>
      <c r="FE30" s="26">
        <v>0</v>
      </c>
      <c r="FF30" s="26">
        <v>0</v>
      </c>
      <c r="FG30" s="26">
        <v>5.2403809523809528</v>
      </c>
      <c r="FH30" s="26">
        <v>6.0238095238095229E-2</v>
      </c>
      <c r="FI30" s="26">
        <v>0</v>
      </c>
      <c r="FJ30" s="74">
        <v>0</v>
      </c>
      <c r="FK30" s="74">
        <v>1.4837655112755042</v>
      </c>
      <c r="FL30" s="74">
        <v>0</v>
      </c>
      <c r="FM30" s="74">
        <v>0</v>
      </c>
      <c r="FN30" s="74">
        <v>0</v>
      </c>
      <c r="FO30" s="74">
        <v>0.8178472222222225</v>
      </c>
      <c r="FP30" s="26">
        <v>0</v>
      </c>
      <c r="FQ30" s="26">
        <v>0</v>
      </c>
      <c r="FR30" s="74">
        <v>0</v>
      </c>
      <c r="FS30" s="26">
        <v>25.575407407407411</v>
      </c>
      <c r="FT30" s="26">
        <v>0</v>
      </c>
      <c r="FU30" s="26">
        <v>0</v>
      </c>
      <c r="FV30" s="26">
        <v>0</v>
      </c>
      <c r="FW30" s="26">
        <v>3.5162111111111107</v>
      </c>
      <c r="FX30" s="26">
        <v>0</v>
      </c>
      <c r="FY30" s="26">
        <v>0</v>
      </c>
      <c r="FZ30" s="74">
        <v>0</v>
      </c>
      <c r="GA30" s="26">
        <v>0.21483333333333338</v>
      </c>
      <c r="GB30" s="26">
        <v>0</v>
      </c>
      <c r="GC30" s="26">
        <v>0</v>
      </c>
      <c r="GD30"/>
    </row>
    <row r="31" spans="1:186" s="26" customFormat="1" x14ac:dyDescent="0.2">
      <c r="A31" s="68" t="s">
        <v>760</v>
      </c>
      <c r="B31" s="26" t="s">
        <v>152</v>
      </c>
      <c r="C31" s="26" t="s">
        <v>104</v>
      </c>
      <c r="D31" s="26" t="s">
        <v>255</v>
      </c>
      <c r="F31" s="26">
        <v>300503</v>
      </c>
      <c r="G31" s="26">
        <v>1</v>
      </c>
      <c r="H31" s="26">
        <v>1</v>
      </c>
      <c r="I31" s="26">
        <v>1</v>
      </c>
      <c r="J31" s="26">
        <v>1</v>
      </c>
      <c r="L31" s="26" t="s">
        <v>434</v>
      </c>
      <c r="M31" s="26" t="s">
        <v>761</v>
      </c>
      <c r="N31" s="26" t="s">
        <v>427</v>
      </c>
      <c r="O31" s="26" t="s">
        <v>671</v>
      </c>
      <c r="P31" s="26" t="s">
        <v>672</v>
      </c>
      <c r="T31" s="39">
        <v>139.82927267500793</v>
      </c>
      <c r="U31" s="39">
        <v>55.507484993783606</v>
      </c>
      <c r="V31" s="39">
        <v>10000</v>
      </c>
      <c r="W31" s="39">
        <v>61.411093373884384</v>
      </c>
      <c r="X31" s="39">
        <v>3.2711818340758737E-2</v>
      </c>
      <c r="Y31" s="39">
        <v>5.6472700514636667E-2</v>
      </c>
      <c r="Z31" s="39"/>
      <c r="AA31" s="39"/>
      <c r="AB31" s="70"/>
      <c r="AC31" s="70"/>
      <c r="AD31" s="71"/>
      <c r="AE31" s="72"/>
      <c r="AF31" s="72"/>
      <c r="AG31" s="26" t="s">
        <v>438</v>
      </c>
      <c r="AH31" s="26" t="s">
        <v>439</v>
      </c>
      <c r="AI31" s="27">
        <v>300503</v>
      </c>
      <c r="AJ31" s="28" t="s">
        <v>104</v>
      </c>
      <c r="AK31" s="28" t="s">
        <v>427</v>
      </c>
      <c r="AL31" s="26">
        <v>1030</v>
      </c>
      <c r="AM31" s="26" t="s">
        <v>246</v>
      </c>
      <c r="DW31" s="36">
        <v>0</v>
      </c>
      <c r="DX31" s="36">
        <v>0</v>
      </c>
      <c r="DY31" s="36">
        <v>0</v>
      </c>
      <c r="DZ31" s="36">
        <v>0</v>
      </c>
      <c r="EA31" s="36">
        <v>0</v>
      </c>
      <c r="EB31" s="29">
        <v>0</v>
      </c>
      <c r="EC31" s="29">
        <v>12.1</v>
      </c>
      <c r="ED31" s="29">
        <v>0</v>
      </c>
      <c r="EE31" s="29">
        <v>0</v>
      </c>
      <c r="EF31" s="29"/>
      <c r="EG31" s="29"/>
      <c r="EH31" s="29"/>
      <c r="EI31" s="29"/>
      <c r="EJ31" s="36"/>
      <c r="EK31" s="108">
        <v>0.33</v>
      </c>
      <c r="EL31" s="108">
        <v>0.33</v>
      </c>
      <c r="EM31" s="108">
        <v>0.33</v>
      </c>
      <c r="EN31" s="108">
        <v>0.33</v>
      </c>
      <c r="EO31" s="108">
        <v>0.33</v>
      </c>
      <c r="EP31" s="108"/>
      <c r="EQ31" s="108"/>
      <c r="FB31" s="26">
        <v>0</v>
      </c>
      <c r="FC31" s="26">
        <v>0.17357936507936506</v>
      </c>
      <c r="FD31" s="26">
        <v>0</v>
      </c>
      <c r="FE31" s="26">
        <v>0</v>
      </c>
      <c r="FF31" s="26">
        <v>0</v>
      </c>
      <c r="FG31" s="26">
        <v>17.236119047619045</v>
      </c>
      <c r="FH31" s="26">
        <v>0.17403571428571429</v>
      </c>
      <c r="FI31" s="26">
        <v>0</v>
      </c>
      <c r="FJ31" s="74">
        <v>0</v>
      </c>
      <c r="FK31" s="74">
        <v>32.846045877580252</v>
      </c>
      <c r="FL31" s="74">
        <v>0</v>
      </c>
      <c r="FM31" s="74">
        <v>0</v>
      </c>
      <c r="FN31" s="74">
        <v>0</v>
      </c>
      <c r="FO31" s="74">
        <v>33.362705555555557</v>
      </c>
      <c r="FP31" s="26">
        <v>0</v>
      </c>
      <c r="FQ31" s="26">
        <v>0</v>
      </c>
      <c r="FR31" s="74">
        <v>0</v>
      </c>
      <c r="FS31" s="26">
        <v>57.96087407407407</v>
      </c>
      <c r="FT31" s="26">
        <v>0</v>
      </c>
      <c r="FU31" s="26">
        <v>0</v>
      </c>
      <c r="FV31" s="26">
        <v>0</v>
      </c>
      <c r="FW31" s="26">
        <v>5.1001055555555554</v>
      </c>
      <c r="FX31" s="26">
        <v>0</v>
      </c>
      <c r="FY31" s="26">
        <v>0</v>
      </c>
      <c r="FZ31" s="74">
        <v>0</v>
      </c>
      <c r="GA31" s="26">
        <v>5.7733333333333325</v>
      </c>
      <c r="GB31" s="26">
        <v>4.5949999999999998E-2</v>
      </c>
      <c r="GC31" s="26">
        <v>0</v>
      </c>
      <c r="GD31"/>
    </row>
    <row r="32" spans="1:186" s="26" customFormat="1" x14ac:dyDescent="0.2">
      <c r="A32" s="68" t="s">
        <v>735</v>
      </c>
      <c r="B32" s="26" t="s">
        <v>172</v>
      </c>
      <c r="C32" s="26" t="s">
        <v>28</v>
      </c>
      <c r="D32" s="26" t="s">
        <v>255</v>
      </c>
      <c r="F32" s="26">
        <v>300293</v>
      </c>
      <c r="G32" s="26">
        <v>1</v>
      </c>
      <c r="H32" s="26">
        <v>1</v>
      </c>
      <c r="I32" s="26">
        <v>1</v>
      </c>
      <c r="J32" s="26">
        <v>1</v>
      </c>
      <c r="L32" s="26" t="s">
        <v>484</v>
      </c>
      <c r="M32" s="26" t="s">
        <v>736</v>
      </c>
      <c r="N32" s="26" t="s">
        <v>473</v>
      </c>
      <c r="O32" s="26" t="s">
        <v>671</v>
      </c>
      <c r="P32" s="26" t="s">
        <v>672</v>
      </c>
      <c r="S32" s="26">
        <v>1</v>
      </c>
      <c r="T32" s="39">
        <v>16.888861781847833</v>
      </c>
      <c r="U32" s="39">
        <v>1.722745608464505</v>
      </c>
      <c r="V32" s="39">
        <v>48.16285348154225</v>
      </c>
      <c r="W32" s="39">
        <v>10.217701828525575</v>
      </c>
      <c r="X32" s="39">
        <v>0.22150382589438816</v>
      </c>
      <c r="Y32" s="39">
        <v>0.75056241920847977</v>
      </c>
      <c r="Z32" s="69">
        <v>63</v>
      </c>
      <c r="AA32" s="69"/>
      <c r="AB32" s="70"/>
      <c r="AC32" s="70"/>
      <c r="AD32" s="71"/>
      <c r="AE32" s="72"/>
      <c r="AF32" s="72"/>
      <c r="AG32" s="26" t="s">
        <v>486</v>
      </c>
      <c r="AH32" s="26" t="s">
        <v>487</v>
      </c>
      <c r="AI32" s="31">
        <v>300293</v>
      </c>
      <c r="AJ32" s="28" t="s">
        <v>28</v>
      </c>
      <c r="AK32" s="28" t="s">
        <v>473</v>
      </c>
      <c r="AL32" s="26">
        <v>1614</v>
      </c>
      <c r="AM32" s="26" t="s">
        <v>246</v>
      </c>
      <c r="AO32" s="32">
        <v>0</v>
      </c>
      <c r="AP32" s="32">
        <v>0</v>
      </c>
      <c r="AQ32" s="32">
        <v>20.95</v>
      </c>
      <c r="AR32" s="32">
        <v>0</v>
      </c>
      <c r="AS32" s="32">
        <v>0</v>
      </c>
      <c r="AT32" s="32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2">
        <v>0</v>
      </c>
      <c r="BA32" s="33">
        <v>0</v>
      </c>
      <c r="BB32" s="33">
        <v>0</v>
      </c>
      <c r="BC32" s="33">
        <v>0</v>
      </c>
      <c r="BD32" s="33">
        <v>0</v>
      </c>
      <c r="BE32" s="33">
        <v>0</v>
      </c>
      <c r="BF32" s="33">
        <v>0</v>
      </c>
      <c r="BG32" s="33">
        <v>0</v>
      </c>
      <c r="BH32" s="33">
        <v>0</v>
      </c>
      <c r="BI32" s="33">
        <v>0</v>
      </c>
      <c r="BJ32" s="33">
        <v>0</v>
      </c>
      <c r="BK32" s="33">
        <v>0</v>
      </c>
      <c r="BL32" s="33">
        <v>0</v>
      </c>
      <c r="BM32" s="33">
        <v>0</v>
      </c>
      <c r="BN32" s="34">
        <v>6.3644300000000005</v>
      </c>
      <c r="BO32" s="34">
        <v>0</v>
      </c>
      <c r="BP32" s="34">
        <v>6.4162079999999992</v>
      </c>
      <c r="BQ32" s="34">
        <v>0</v>
      </c>
      <c r="BR32" s="34">
        <v>0</v>
      </c>
      <c r="BS32" s="34">
        <v>6.5356127999999991</v>
      </c>
      <c r="BT32" s="34">
        <v>5.7880599999999998</v>
      </c>
      <c r="BU32" s="34">
        <v>6.088350000000001</v>
      </c>
      <c r="BV32" s="34">
        <v>0</v>
      </c>
      <c r="BW32" s="34">
        <v>0</v>
      </c>
      <c r="BX32" s="34">
        <v>0</v>
      </c>
      <c r="BY32" s="34">
        <v>0</v>
      </c>
      <c r="BZ32" s="34">
        <v>0</v>
      </c>
      <c r="CA32" s="34">
        <v>11.7052716</v>
      </c>
      <c r="CB32" s="34">
        <v>0</v>
      </c>
      <c r="CC32" s="34">
        <v>0</v>
      </c>
      <c r="CD32" s="34">
        <v>0</v>
      </c>
      <c r="CE32" s="34">
        <v>0</v>
      </c>
      <c r="CF32" s="34">
        <v>0</v>
      </c>
      <c r="CG32" s="34">
        <v>0</v>
      </c>
      <c r="CH32" s="34">
        <v>0</v>
      </c>
      <c r="CI32" s="34">
        <v>0</v>
      </c>
      <c r="CJ32" s="34">
        <v>0</v>
      </c>
      <c r="CK32" s="34">
        <v>0</v>
      </c>
      <c r="CL32" s="34">
        <v>0</v>
      </c>
      <c r="CM32" s="34">
        <v>0</v>
      </c>
      <c r="CN32" s="34">
        <v>0</v>
      </c>
      <c r="CO32" s="34">
        <v>0</v>
      </c>
      <c r="CP32" s="34">
        <v>0</v>
      </c>
      <c r="CQ32" s="34">
        <v>0</v>
      </c>
      <c r="CR32" s="34">
        <v>6.0268208000000003</v>
      </c>
      <c r="CS32" s="34">
        <v>0</v>
      </c>
      <c r="CT32" s="37">
        <v>0</v>
      </c>
      <c r="CU32" s="37">
        <v>0</v>
      </c>
      <c r="CV32" s="37">
        <v>0</v>
      </c>
      <c r="CW32" s="37">
        <v>0</v>
      </c>
      <c r="CX32" s="37">
        <v>0</v>
      </c>
      <c r="CY32" s="37">
        <v>0</v>
      </c>
      <c r="CZ32" s="37">
        <v>0</v>
      </c>
      <c r="DA32" s="37">
        <v>0</v>
      </c>
      <c r="DB32" s="37">
        <v>0</v>
      </c>
      <c r="DC32" s="35">
        <v>11.746991999999999</v>
      </c>
      <c r="DD32" s="35">
        <v>10.502947000000001</v>
      </c>
      <c r="DE32" s="37">
        <v>0</v>
      </c>
      <c r="DF32" s="37">
        <v>0</v>
      </c>
      <c r="DG32" s="37">
        <v>0</v>
      </c>
      <c r="DH32" s="37">
        <v>0</v>
      </c>
      <c r="DI32" s="37">
        <v>0</v>
      </c>
      <c r="DJ32" s="37">
        <v>0</v>
      </c>
      <c r="DK32" s="37">
        <v>0</v>
      </c>
      <c r="DL32" s="37">
        <v>0</v>
      </c>
      <c r="DM32" s="37">
        <v>0</v>
      </c>
      <c r="DN32" s="37">
        <v>0</v>
      </c>
      <c r="DO32" s="37">
        <v>0</v>
      </c>
      <c r="DP32" s="37">
        <v>0</v>
      </c>
      <c r="DQ32" s="37">
        <v>0</v>
      </c>
      <c r="DR32" s="37">
        <v>0</v>
      </c>
      <c r="DS32" s="37">
        <v>0</v>
      </c>
      <c r="DT32" s="37">
        <v>0</v>
      </c>
      <c r="DU32" s="37">
        <v>0</v>
      </c>
      <c r="DV32" s="37">
        <v>0</v>
      </c>
      <c r="DW32" s="36">
        <v>0</v>
      </c>
      <c r="DX32" s="36">
        <v>0</v>
      </c>
      <c r="DY32" s="36">
        <v>0</v>
      </c>
      <c r="DZ32" s="36">
        <v>0</v>
      </c>
      <c r="EA32" s="36">
        <v>0</v>
      </c>
      <c r="EB32" s="29">
        <v>0</v>
      </c>
      <c r="EC32" s="29">
        <v>0</v>
      </c>
      <c r="ED32" s="29">
        <v>0</v>
      </c>
      <c r="EE32" s="29">
        <v>0</v>
      </c>
      <c r="EF32" s="29"/>
      <c r="EG32" s="29"/>
      <c r="EH32" s="29"/>
      <c r="EI32" s="29"/>
      <c r="EJ32" s="36"/>
      <c r="EK32" s="108">
        <v>0.48</v>
      </c>
      <c r="EL32" s="108">
        <v>0.48</v>
      </c>
      <c r="EM32" s="108">
        <v>0.48</v>
      </c>
      <c r="EN32" s="108">
        <v>0.48</v>
      </c>
      <c r="EO32" s="108">
        <v>0.48</v>
      </c>
      <c r="EP32" s="108"/>
      <c r="EQ32" s="108"/>
      <c r="ER32" s="73">
        <v>78.566666666666663</v>
      </c>
      <c r="ES32" s="26">
        <v>74.876666666666665</v>
      </c>
      <c r="ET32" s="26">
        <v>0.318</v>
      </c>
      <c r="EU32" s="26">
        <v>16.095174359900565</v>
      </c>
      <c r="EV32" s="26">
        <v>0</v>
      </c>
      <c r="FB32" s="26">
        <v>0</v>
      </c>
      <c r="FC32" s="26">
        <v>0</v>
      </c>
      <c r="FD32" s="26">
        <v>0</v>
      </c>
      <c r="FE32" s="26">
        <v>0</v>
      </c>
      <c r="FF32" s="26">
        <v>0</v>
      </c>
      <c r="FG32" s="26">
        <v>0.5643999999999999</v>
      </c>
      <c r="FH32" s="26">
        <v>0</v>
      </c>
      <c r="FI32" s="26">
        <v>0</v>
      </c>
      <c r="FJ32" s="74">
        <v>0</v>
      </c>
      <c r="FK32" s="74">
        <v>1.0384500000000001</v>
      </c>
      <c r="FL32" s="74">
        <v>0</v>
      </c>
      <c r="FM32" s="74">
        <v>0</v>
      </c>
      <c r="FN32" s="74">
        <v>0</v>
      </c>
      <c r="FO32" s="74">
        <v>0.93058333333333343</v>
      </c>
      <c r="FP32" s="26">
        <v>0</v>
      </c>
      <c r="FQ32" s="26">
        <v>0</v>
      </c>
      <c r="FR32" s="74">
        <v>0</v>
      </c>
      <c r="FS32" s="26">
        <v>0.74462222222222219</v>
      </c>
      <c r="FT32" s="26">
        <v>0</v>
      </c>
      <c r="FU32" s="26">
        <v>0</v>
      </c>
      <c r="FV32" s="26">
        <v>0</v>
      </c>
      <c r="FW32" s="26">
        <v>7.3691666666666669E-2</v>
      </c>
      <c r="FX32" s="26">
        <v>0</v>
      </c>
      <c r="FY32" s="26">
        <v>0</v>
      </c>
      <c r="FZ32" s="74">
        <v>0</v>
      </c>
      <c r="GA32" s="26">
        <v>6.474285714285713E-2</v>
      </c>
      <c r="GB32" s="26">
        <v>0</v>
      </c>
      <c r="GC32" s="26">
        <v>0</v>
      </c>
      <c r="GD32"/>
    </row>
    <row r="33" spans="1:186" s="6" customFormat="1" x14ac:dyDescent="0.2">
      <c r="A33" s="60" t="s">
        <v>1035</v>
      </c>
      <c r="B33" s="6" t="s">
        <v>173</v>
      </c>
      <c r="C33" s="6" t="s">
        <v>113</v>
      </c>
      <c r="D33" s="6" t="s">
        <v>255</v>
      </c>
      <c r="F33" s="6">
        <v>300330</v>
      </c>
      <c r="G33" s="6">
        <v>1</v>
      </c>
      <c r="J33" s="6">
        <v>1</v>
      </c>
      <c r="L33" s="6" t="s">
        <v>876</v>
      </c>
      <c r="M33" s="6" t="s">
        <v>876</v>
      </c>
      <c r="N33" s="6" t="s">
        <v>876</v>
      </c>
      <c r="O33" s="6" t="s">
        <v>876</v>
      </c>
      <c r="P33" s="6" t="s">
        <v>876</v>
      </c>
      <c r="T33"/>
      <c r="U33"/>
      <c r="V33"/>
      <c r="W33"/>
      <c r="X33"/>
      <c r="Y33"/>
      <c r="Z33"/>
      <c r="AA33"/>
      <c r="AB33" s="61"/>
      <c r="AC33" s="61"/>
      <c r="AD33" s="62"/>
      <c r="AE33" s="63"/>
      <c r="AF33" s="63"/>
      <c r="AG33" s="6" t="s">
        <v>173</v>
      </c>
      <c r="AI33" s="6">
        <v>300330</v>
      </c>
      <c r="AJ33" s="6" t="s">
        <v>113</v>
      </c>
      <c r="AK33" s="3" t="s">
        <v>427</v>
      </c>
      <c r="AL33" s="3"/>
      <c r="AM33" s="6" t="s">
        <v>189</v>
      </c>
      <c r="DW33" s="19">
        <v>0</v>
      </c>
      <c r="DX33" s="19">
        <v>0</v>
      </c>
      <c r="DY33" s="19">
        <v>0</v>
      </c>
      <c r="DZ33" s="19">
        <v>0</v>
      </c>
      <c r="EA33" s="19">
        <v>0</v>
      </c>
      <c r="EB33" s="17">
        <v>0</v>
      </c>
      <c r="EC33" s="17">
        <v>0</v>
      </c>
      <c r="ED33" s="17">
        <v>0</v>
      </c>
      <c r="EE33" s="17">
        <v>0</v>
      </c>
      <c r="EF33" s="17"/>
      <c r="EG33" s="17"/>
      <c r="EH33" s="17"/>
      <c r="EI33" s="17"/>
      <c r="EJ33" s="19"/>
      <c r="EK33" s="106">
        <v>1.67</v>
      </c>
      <c r="EL33" s="106">
        <v>1.67</v>
      </c>
      <c r="EM33" s="106">
        <v>1.67</v>
      </c>
      <c r="EN33" s="106">
        <v>1.67</v>
      </c>
      <c r="EO33" s="106">
        <v>1.67</v>
      </c>
      <c r="EP33" s="106"/>
      <c r="EQ33" s="106"/>
      <c r="FB33" s="65"/>
      <c r="GD33"/>
    </row>
    <row r="34" spans="1:186" s="6" customFormat="1" x14ac:dyDescent="0.2">
      <c r="A34" s="60" t="s">
        <v>1020</v>
      </c>
      <c r="B34" s="6" t="s">
        <v>169</v>
      </c>
      <c r="C34" s="6" t="s">
        <v>110</v>
      </c>
      <c r="D34" s="6" t="s">
        <v>255</v>
      </c>
      <c r="F34" s="6">
        <v>436</v>
      </c>
      <c r="G34" s="6">
        <v>1</v>
      </c>
      <c r="H34" s="6">
        <v>1</v>
      </c>
      <c r="J34" s="6">
        <v>1</v>
      </c>
      <c r="L34" s="6" t="s">
        <v>876</v>
      </c>
      <c r="M34" s="6" t="s">
        <v>876</v>
      </c>
      <c r="N34" s="6" t="s">
        <v>473</v>
      </c>
      <c r="O34" s="6" t="s">
        <v>876</v>
      </c>
      <c r="P34" s="6" t="s">
        <v>876</v>
      </c>
      <c r="T34"/>
      <c r="U34"/>
      <c r="V34"/>
      <c r="W34"/>
      <c r="X34"/>
      <c r="Y34"/>
      <c r="Z34" s="64">
        <v>240</v>
      </c>
      <c r="AA34" s="64"/>
      <c r="AB34" s="61"/>
      <c r="AC34" s="61"/>
      <c r="AD34" s="62"/>
      <c r="AE34" s="63"/>
      <c r="AF34" s="63"/>
      <c r="AG34" s="6" t="s">
        <v>169</v>
      </c>
      <c r="AI34" s="6">
        <v>436</v>
      </c>
      <c r="AJ34" s="6" t="s">
        <v>110</v>
      </c>
      <c r="AK34" s="3" t="s">
        <v>473</v>
      </c>
      <c r="AL34" s="3"/>
      <c r="AM34" s="6" t="s">
        <v>246</v>
      </c>
      <c r="DW34" s="19">
        <v>0</v>
      </c>
      <c r="DX34" s="19">
        <v>0</v>
      </c>
      <c r="DY34" s="19">
        <v>0</v>
      </c>
      <c r="DZ34" s="19">
        <v>0</v>
      </c>
      <c r="EA34" s="19">
        <v>0</v>
      </c>
      <c r="EB34" s="17">
        <v>0</v>
      </c>
      <c r="EC34" s="17">
        <v>0</v>
      </c>
      <c r="ED34" s="17">
        <v>0</v>
      </c>
      <c r="EE34" s="17">
        <v>0</v>
      </c>
      <c r="EF34" s="17"/>
      <c r="EG34" s="17"/>
      <c r="EH34" s="17"/>
      <c r="EI34" s="17"/>
      <c r="EJ34" s="19"/>
      <c r="EK34" s="106">
        <v>6.44</v>
      </c>
      <c r="EL34" s="106">
        <v>6.44</v>
      </c>
      <c r="EM34" s="106">
        <v>6.44</v>
      </c>
      <c r="EN34" s="106">
        <v>6.44</v>
      </c>
      <c r="EO34" s="106">
        <v>6.44</v>
      </c>
      <c r="EP34" s="106"/>
      <c r="EQ34" s="106"/>
      <c r="ER34" s="65">
        <v>81.846666666666678</v>
      </c>
      <c r="ES34" s="6">
        <v>82.320000000000007</v>
      </c>
      <c r="ET34" s="6">
        <v>1.5527427742412974</v>
      </c>
      <c r="EU34" s="6">
        <v>76.253856435803712</v>
      </c>
      <c r="EV34" s="6">
        <v>0</v>
      </c>
      <c r="FB34" s="6">
        <v>0</v>
      </c>
      <c r="FC34" s="6">
        <v>0</v>
      </c>
      <c r="FD34" s="6">
        <v>0</v>
      </c>
      <c r="FE34" s="6">
        <v>0</v>
      </c>
      <c r="FF34" s="6">
        <v>0</v>
      </c>
      <c r="FG34" s="6">
        <v>3.7089142857142852</v>
      </c>
      <c r="FH34" s="6">
        <v>0</v>
      </c>
      <c r="FI34" s="6">
        <v>0</v>
      </c>
      <c r="FJ34" s="66">
        <v>0</v>
      </c>
      <c r="FK34" s="66">
        <v>11.0768</v>
      </c>
      <c r="FL34" s="66">
        <v>0</v>
      </c>
      <c r="FM34" s="66">
        <v>0</v>
      </c>
      <c r="FN34" s="66">
        <v>0</v>
      </c>
      <c r="FO34" s="66">
        <v>10.737500000000001</v>
      </c>
      <c r="FP34" s="6">
        <v>0</v>
      </c>
      <c r="FQ34" s="6">
        <v>0</v>
      </c>
      <c r="FR34" s="66">
        <v>0</v>
      </c>
      <c r="FS34" s="6">
        <v>9.028544444444444</v>
      </c>
      <c r="FT34" s="6">
        <v>0</v>
      </c>
      <c r="FU34" s="6">
        <v>0</v>
      </c>
      <c r="FV34" s="6">
        <v>0</v>
      </c>
      <c r="FW34" s="6">
        <v>6.1164083333333332</v>
      </c>
      <c r="FX34" s="6">
        <v>0</v>
      </c>
      <c r="FY34" s="6">
        <v>0</v>
      </c>
      <c r="FZ34" s="66">
        <v>0</v>
      </c>
      <c r="GA34" s="6">
        <v>7.121714285714285</v>
      </c>
      <c r="GB34" s="6">
        <v>0</v>
      </c>
      <c r="GC34" s="6">
        <v>0</v>
      </c>
      <c r="GD34"/>
    </row>
    <row r="35" spans="1:186" s="26" customFormat="1" x14ac:dyDescent="0.2">
      <c r="A35" s="68" t="s">
        <v>697</v>
      </c>
      <c r="B35" s="26" t="s">
        <v>141</v>
      </c>
      <c r="C35" s="26" t="s">
        <v>21</v>
      </c>
      <c r="D35" s="26" t="s">
        <v>255</v>
      </c>
      <c r="F35" s="26">
        <v>276</v>
      </c>
      <c r="G35" s="26">
        <v>1</v>
      </c>
      <c r="H35" s="26">
        <v>1</v>
      </c>
      <c r="I35" s="26">
        <v>1</v>
      </c>
      <c r="J35" s="26">
        <v>1</v>
      </c>
      <c r="L35" s="26" t="s">
        <v>698</v>
      </c>
      <c r="M35" s="26" t="s">
        <v>699</v>
      </c>
      <c r="N35" s="26" t="s">
        <v>427</v>
      </c>
      <c r="O35" s="26" t="s">
        <v>692</v>
      </c>
      <c r="P35" s="26" t="s">
        <v>693</v>
      </c>
      <c r="T35" s="39">
        <v>11.228082980422219</v>
      </c>
      <c r="U35" s="39">
        <v>3.6739533428741686</v>
      </c>
      <c r="V35" s="39">
        <v>10000</v>
      </c>
      <c r="W35" s="39">
        <v>10000</v>
      </c>
      <c r="X35" s="39">
        <v>5.854983635589385E-2</v>
      </c>
      <c r="Y35" s="39">
        <v>0.12311264395707881</v>
      </c>
      <c r="Z35" s="69">
        <v>36</v>
      </c>
      <c r="AA35" s="69"/>
      <c r="AB35" s="56">
        <v>5.0399999999999999E-5</v>
      </c>
      <c r="AC35" s="57">
        <v>1.4599999999999999E-3</v>
      </c>
      <c r="AD35" s="58">
        <v>1.93</v>
      </c>
      <c r="AE35" s="58">
        <v>40.4</v>
      </c>
      <c r="AF35" s="58">
        <v>25.2</v>
      </c>
      <c r="AG35" s="26" t="s">
        <v>456</v>
      </c>
      <c r="AH35" s="26" t="s">
        <v>457</v>
      </c>
      <c r="AI35" s="27">
        <v>276</v>
      </c>
      <c r="AJ35" s="28" t="s">
        <v>21</v>
      </c>
      <c r="AK35" s="28" t="s">
        <v>427</v>
      </c>
      <c r="AL35" s="26">
        <v>1178</v>
      </c>
      <c r="AM35" s="26" t="s">
        <v>246</v>
      </c>
      <c r="AN35" s="26" t="s">
        <v>458</v>
      </c>
      <c r="AO35" s="32">
        <v>57.21</v>
      </c>
      <c r="AP35" s="32">
        <v>0</v>
      </c>
      <c r="AQ35" s="32">
        <v>176.43</v>
      </c>
      <c r="AR35" s="32">
        <v>312.83</v>
      </c>
      <c r="AS35" s="32">
        <v>558.72</v>
      </c>
      <c r="AT35" s="32">
        <v>111.07</v>
      </c>
      <c r="AU35" s="32">
        <v>43.95</v>
      </c>
      <c r="AV35" s="32">
        <v>485.94</v>
      </c>
      <c r="AW35" s="32">
        <v>283.2</v>
      </c>
      <c r="AX35" s="32">
        <v>324.85000000000002</v>
      </c>
      <c r="AY35" s="32">
        <v>324.85000000000002</v>
      </c>
      <c r="AZ35" s="32">
        <v>67.16</v>
      </c>
      <c r="BA35" s="33">
        <v>43.542847999999999</v>
      </c>
      <c r="BB35" s="33">
        <v>0</v>
      </c>
      <c r="BC35" s="33">
        <v>87.702550400000007</v>
      </c>
      <c r="BD35" s="33">
        <v>121.62905539999998</v>
      </c>
      <c r="BE35" s="33">
        <v>172.95424780000002</v>
      </c>
      <c r="BF35" s="33">
        <v>69.429399199999992</v>
      </c>
      <c r="BG35" s="33">
        <v>40.0673484</v>
      </c>
      <c r="BH35" s="33">
        <v>157.34301120000001</v>
      </c>
      <c r="BI35" s="33">
        <v>138.55926500000001</v>
      </c>
      <c r="BJ35" s="33">
        <v>187.17169800000002</v>
      </c>
      <c r="BK35" s="33">
        <v>144.48367080000003</v>
      </c>
      <c r="BL35" s="33">
        <v>126.13011160000001</v>
      </c>
      <c r="BM35" s="33">
        <v>27.488189799999997</v>
      </c>
      <c r="BN35" s="34">
        <v>0</v>
      </c>
      <c r="BO35" s="34">
        <v>0</v>
      </c>
      <c r="BP35" s="34">
        <v>0</v>
      </c>
      <c r="BQ35" s="34">
        <v>0</v>
      </c>
      <c r="BR35" s="34">
        <v>263.01098460000003</v>
      </c>
      <c r="BS35" s="34">
        <v>0</v>
      </c>
      <c r="BT35" s="34">
        <v>204.70235439999999</v>
      </c>
      <c r="BU35" s="34">
        <v>187.89999</v>
      </c>
      <c r="BV35" s="34">
        <v>0</v>
      </c>
      <c r="BW35" s="34">
        <v>87.098219999999998</v>
      </c>
      <c r="BX35" s="34">
        <v>53.296077000000004</v>
      </c>
      <c r="BY35" s="34">
        <v>117.28697820000001</v>
      </c>
      <c r="BZ35" s="34">
        <v>296.62895360000005</v>
      </c>
      <c r="CA35" s="34">
        <v>51.312525000000008</v>
      </c>
      <c r="CB35" s="34">
        <v>193.2807128</v>
      </c>
      <c r="CC35" s="34">
        <v>108.08760199999999</v>
      </c>
      <c r="CD35" s="34">
        <v>83.735998200000012</v>
      </c>
      <c r="CE35" s="34">
        <v>119.9529656</v>
      </c>
      <c r="CF35" s="34">
        <v>26.749788799999997</v>
      </c>
      <c r="CG35" s="34">
        <v>232.57202560000005</v>
      </c>
      <c r="CH35" s="34">
        <v>262.3057278</v>
      </c>
      <c r="CI35" s="34">
        <v>803.34774000000004</v>
      </c>
      <c r="CJ35" s="34">
        <v>78.614841599999991</v>
      </c>
      <c r="CK35" s="34">
        <v>134.73048460000001</v>
      </c>
      <c r="CL35" s="34">
        <v>56.801828399999998</v>
      </c>
      <c r="CM35" s="34">
        <v>25.9640244</v>
      </c>
      <c r="CN35" s="34">
        <v>108.5212128</v>
      </c>
      <c r="CO35" s="34">
        <v>110.88231</v>
      </c>
      <c r="CP35" s="34">
        <v>29.098003200000001</v>
      </c>
      <c r="CQ35" s="34">
        <v>155.76208439999999</v>
      </c>
      <c r="CR35" s="34">
        <v>61.220545199999989</v>
      </c>
      <c r="CS35" s="34">
        <v>29.431583999999997</v>
      </c>
      <c r="CT35" s="35">
        <v>7.3139735999999997</v>
      </c>
      <c r="CU35" s="35">
        <v>15.911884000000002</v>
      </c>
      <c r="CV35" s="35">
        <v>14.621445000000001</v>
      </c>
      <c r="CW35" s="35">
        <v>0</v>
      </c>
      <c r="CX35" s="35">
        <v>0</v>
      </c>
      <c r="CY35" s="35">
        <v>0</v>
      </c>
      <c r="CZ35" s="35">
        <v>6.9026311999999992</v>
      </c>
      <c r="DA35" s="35">
        <v>494.38389360000002</v>
      </c>
      <c r="DB35" s="35">
        <v>39.297384000000001</v>
      </c>
      <c r="DC35" s="35">
        <v>149.37682320000002</v>
      </c>
      <c r="DD35" s="35">
        <v>95.257138200000014</v>
      </c>
      <c r="DE35" s="35">
        <v>1136.1116027999999</v>
      </c>
      <c r="DF35" s="35">
        <v>318.00451980000003</v>
      </c>
      <c r="DG35" s="35">
        <v>118.9747352</v>
      </c>
      <c r="DH35" s="35">
        <v>0</v>
      </c>
      <c r="DI35" s="35">
        <v>82.459338800000012</v>
      </c>
      <c r="DJ35" s="35">
        <v>45.761716</v>
      </c>
      <c r="DK35" s="35">
        <v>0</v>
      </c>
      <c r="DL35" s="35">
        <v>47.477849600000006</v>
      </c>
      <c r="DM35" s="35">
        <v>107.76287039999998</v>
      </c>
      <c r="DN35" s="35">
        <v>64.195303200000012</v>
      </c>
      <c r="DO35" s="35">
        <v>39.922062799999999</v>
      </c>
      <c r="DP35" s="35">
        <v>13.8478032</v>
      </c>
      <c r="DQ35" s="35">
        <v>40.791851999999999</v>
      </c>
      <c r="DR35" s="35">
        <v>155.250519</v>
      </c>
      <c r="DS35" s="35">
        <v>40.539955399999997</v>
      </c>
      <c r="DT35" s="35">
        <v>70.756771200000003</v>
      </c>
      <c r="DU35" s="35">
        <v>305.19842959999994</v>
      </c>
      <c r="DV35" s="35">
        <v>36.443333599999995</v>
      </c>
      <c r="DW35" s="36">
        <v>11</v>
      </c>
      <c r="DX35" s="36">
        <v>14</v>
      </c>
      <c r="DY35" s="36">
        <v>45</v>
      </c>
      <c r="DZ35" s="36">
        <v>35</v>
      </c>
      <c r="EA35" s="36">
        <v>19</v>
      </c>
      <c r="EB35" s="29">
        <v>219</v>
      </c>
      <c r="EC35" s="29">
        <v>562</v>
      </c>
      <c r="ED35" s="29">
        <v>80.099999999999994</v>
      </c>
      <c r="EE35" s="29">
        <v>45.3</v>
      </c>
      <c r="EF35" s="29"/>
      <c r="EG35" s="29"/>
      <c r="EH35" s="29"/>
      <c r="EI35" s="29"/>
      <c r="EJ35" s="36"/>
      <c r="EK35" s="108">
        <v>4.17</v>
      </c>
      <c r="EL35" s="108">
        <v>2.35</v>
      </c>
      <c r="EM35" s="108">
        <v>2.57</v>
      </c>
      <c r="EN35" s="108">
        <v>1.82</v>
      </c>
      <c r="EO35" s="108">
        <v>3.66</v>
      </c>
      <c r="EP35" s="108"/>
      <c r="EQ35" s="108"/>
      <c r="ER35" s="73">
        <v>381.43</v>
      </c>
      <c r="ES35" s="30">
        <v>2658.1200000000003</v>
      </c>
      <c r="ET35" s="26">
        <v>12.13</v>
      </c>
      <c r="EU35" s="26">
        <v>757.34</v>
      </c>
      <c r="EV35" s="26">
        <v>29.803333333333331</v>
      </c>
      <c r="FB35" s="26">
        <v>0</v>
      </c>
      <c r="FC35" s="26">
        <v>0.33549206349206351</v>
      </c>
      <c r="FD35" s="26">
        <v>0.18807142857142853</v>
      </c>
      <c r="FE35" s="26">
        <v>0</v>
      </c>
      <c r="FF35" s="26">
        <v>0</v>
      </c>
      <c r="FG35" s="26">
        <v>101.23866666666667</v>
      </c>
      <c r="FH35" s="26">
        <v>0.28595132275132273</v>
      </c>
      <c r="FI35" s="26">
        <v>0</v>
      </c>
      <c r="FJ35" s="74">
        <v>0</v>
      </c>
      <c r="FK35" s="74">
        <v>107.96650202839758</v>
      </c>
      <c r="FL35" s="74">
        <v>0</v>
      </c>
      <c r="FM35" s="74">
        <v>0</v>
      </c>
      <c r="FN35" s="74">
        <v>0</v>
      </c>
      <c r="FO35" s="74">
        <v>189.14014740740743</v>
      </c>
      <c r="FP35" s="26">
        <v>0</v>
      </c>
      <c r="FQ35" s="26">
        <v>0</v>
      </c>
      <c r="FR35" s="74">
        <v>0</v>
      </c>
      <c r="FS35" s="26">
        <v>252.13617802469142</v>
      </c>
      <c r="FT35" s="26">
        <v>0</v>
      </c>
      <c r="FU35" s="26">
        <v>0</v>
      </c>
      <c r="FV35" s="26">
        <v>0</v>
      </c>
      <c r="FW35" s="26">
        <v>89.33948074074074</v>
      </c>
      <c r="FX35" s="26">
        <v>0</v>
      </c>
      <c r="FY35" s="26">
        <v>0</v>
      </c>
      <c r="FZ35" s="74">
        <v>0</v>
      </c>
      <c r="GA35" s="26">
        <v>73.023499999999984</v>
      </c>
      <c r="GB35" s="26">
        <v>1.2581111111111112E-2</v>
      </c>
      <c r="GC35" s="26">
        <v>0</v>
      </c>
      <c r="GD35"/>
    </row>
    <row r="36" spans="1:186" s="26" customFormat="1" x14ac:dyDescent="0.2">
      <c r="A36" s="68" t="s">
        <v>741</v>
      </c>
      <c r="B36" s="26" t="s">
        <v>176</v>
      </c>
      <c r="C36" s="26" t="s">
        <v>109</v>
      </c>
      <c r="D36" s="26" t="s">
        <v>255</v>
      </c>
      <c r="F36" s="26">
        <v>300328</v>
      </c>
      <c r="G36" s="26">
        <v>1</v>
      </c>
      <c r="H36" s="26">
        <v>1</v>
      </c>
      <c r="I36" s="26">
        <v>1</v>
      </c>
      <c r="J36" s="26">
        <v>1</v>
      </c>
      <c r="L36" s="26" t="s">
        <v>518</v>
      </c>
      <c r="M36" s="26" t="s">
        <v>742</v>
      </c>
      <c r="N36" s="26" t="s">
        <v>473</v>
      </c>
      <c r="O36" s="26" t="s">
        <v>671</v>
      </c>
      <c r="P36" s="26" t="s">
        <v>672</v>
      </c>
      <c r="T36" s="39">
        <v>10000</v>
      </c>
      <c r="U36" s="39">
        <v>10000</v>
      </c>
      <c r="V36" s="39">
        <v>10000</v>
      </c>
      <c r="W36" s="39">
        <v>10000</v>
      </c>
      <c r="X36" s="39">
        <v>2.9682444392510332E-2</v>
      </c>
      <c r="Y36" s="39">
        <v>8.3333327582692684E-2</v>
      </c>
      <c r="Z36" s="69">
        <v>122</v>
      </c>
      <c r="AA36" s="69"/>
      <c r="AB36" s="70"/>
      <c r="AC36" s="70"/>
      <c r="AD36" s="71"/>
      <c r="AE36" s="72"/>
      <c r="AF36" s="72"/>
      <c r="AG36" s="26" t="s">
        <v>515</v>
      </c>
      <c r="AH36" s="26" t="s">
        <v>516</v>
      </c>
      <c r="AI36" s="27">
        <v>300328</v>
      </c>
      <c r="AJ36" s="28" t="s">
        <v>109</v>
      </c>
      <c r="AK36" s="28" t="s">
        <v>473</v>
      </c>
      <c r="AL36" s="26">
        <v>2326</v>
      </c>
      <c r="AM36" s="26" t="s">
        <v>246</v>
      </c>
      <c r="DW36" s="36">
        <v>0</v>
      </c>
      <c r="DX36" s="36">
        <v>0</v>
      </c>
      <c r="DY36" s="36">
        <v>0</v>
      </c>
      <c r="DZ36" s="36">
        <v>0</v>
      </c>
      <c r="EA36" s="36">
        <v>0</v>
      </c>
      <c r="EB36" s="29">
        <v>0</v>
      </c>
      <c r="EC36" s="29">
        <v>0</v>
      </c>
      <c r="ED36" s="29">
        <v>0</v>
      </c>
      <c r="EE36" s="29">
        <v>0</v>
      </c>
      <c r="EF36" s="29"/>
      <c r="EG36" s="29"/>
      <c r="EH36" s="29"/>
      <c r="EI36" s="29"/>
      <c r="EJ36" s="36"/>
      <c r="EK36" s="108">
        <v>1.67</v>
      </c>
      <c r="EL36" s="108">
        <v>1.67</v>
      </c>
      <c r="EM36" s="108">
        <v>1.67</v>
      </c>
      <c r="EN36" s="108">
        <v>1.67</v>
      </c>
      <c r="EO36" s="108">
        <v>1.67</v>
      </c>
      <c r="EP36" s="108"/>
      <c r="EQ36" s="108"/>
      <c r="ER36" s="73">
        <v>63.306666666666672</v>
      </c>
      <c r="ES36" s="26">
        <v>66.69</v>
      </c>
      <c r="ET36" s="26">
        <v>1.482656822472401</v>
      </c>
      <c r="EU36" s="26">
        <v>73.751881579926277</v>
      </c>
      <c r="EV36" s="26">
        <v>0</v>
      </c>
      <c r="FB36" s="26">
        <v>0</v>
      </c>
      <c r="FC36" s="26">
        <v>0</v>
      </c>
      <c r="FD36" s="26">
        <v>0</v>
      </c>
      <c r="FE36" s="26">
        <v>0</v>
      </c>
      <c r="FF36" s="26">
        <v>0</v>
      </c>
      <c r="FG36" s="26">
        <v>1.9350857142857143</v>
      </c>
      <c r="FH36" s="26">
        <v>0</v>
      </c>
      <c r="FI36" s="26">
        <v>0</v>
      </c>
      <c r="FJ36" s="74">
        <v>0</v>
      </c>
      <c r="FK36" s="74">
        <v>4.5691800000000002</v>
      </c>
      <c r="FL36" s="74">
        <v>0</v>
      </c>
      <c r="FM36" s="74">
        <v>0</v>
      </c>
      <c r="FN36" s="74">
        <v>0</v>
      </c>
      <c r="FO36" s="74">
        <v>5.1539999999999999</v>
      </c>
      <c r="FP36" s="26">
        <v>0</v>
      </c>
      <c r="FQ36" s="26">
        <v>0</v>
      </c>
      <c r="FR36" s="74">
        <v>0</v>
      </c>
      <c r="FS36" s="26">
        <v>5.0261999999999993</v>
      </c>
      <c r="FT36" s="26">
        <v>0</v>
      </c>
      <c r="FU36" s="26">
        <v>0</v>
      </c>
      <c r="FV36" s="26">
        <v>0</v>
      </c>
      <c r="FW36" s="26">
        <v>3.0213583333333331</v>
      </c>
      <c r="FX36" s="26">
        <v>0</v>
      </c>
      <c r="FY36" s="26">
        <v>0</v>
      </c>
      <c r="FZ36" s="74">
        <v>0</v>
      </c>
      <c r="GA36" s="26">
        <v>3.0429142857142857</v>
      </c>
      <c r="GB36" s="26">
        <v>0</v>
      </c>
      <c r="GC36" s="26">
        <v>0</v>
      </c>
      <c r="GD36"/>
    </row>
    <row r="37" spans="1:186" s="26" customFormat="1" x14ac:dyDescent="0.2">
      <c r="A37" s="68" t="s">
        <v>729</v>
      </c>
      <c r="B37" s="26" t="s">
        <v>136</v>
      </c>
      <c r="C37" s="26" t="s">
        <v>34</v>
      </c>
      <c r="D37" s="26" t="s">
        <v>255</v>
      </c>
      <c r="F37" s="26">
        <v>850</v>
      </c>
      <c r="G37" s="26">
        <v>1</v>
      </c>
      <c r="H37" s="26">
        <v>1</v>
      </c>
      <c r="I37" s="26">
        <v>1</v>
      </c>
      <c r="J37" s="26">
        <v>1</v>
      </c>
      <c r="L37" s="26" t="s">
        <v>730</v>
      </c>
      <c r="M37" s="26" t="s">
        <v>731</v>
      </c>
      <c r="N37" s="26" t="s">
        <v>427</v>
      </c>
      <c r="O37" s="26" t="s">
        <v>692</v>
      </c>
      <c r="P37" s="26" t="s">
        <v>732</v>
      </c>
      <c r="S37" s="26">
        <v>1</v>
      </c>
      <c r="T37" s="39">
        <v>6.3103610851913547</v>
      </c>
      <c r="U37" s="39">
        <v>5.0201757810109386</v>
      </c>
      <c r="V37" s="39">
        <v>21.818737280145651</v>
      </c>
      <c r="W37" s="39">
        <v>5.5023276671091885</v>
      </c>
      <c r="X37" s="39">
        <v>8.4717785809714369E-2</v>
      </c>
      <c r="Y37" s="39">
        <v>0.10946077441360177</v>
      </c>
      <c r="Z37" s="69">
        <v>121</v>
      </c>
      <c r="AA37" s="69"/>
      <c r="AB37" s="70"/>
      <c r="AC37" s="70"/>
      <c r="AD37" s="71"/>
      <c r="AE37" s="72"/>
      <c r="AF37" s="72"/>
      <c r="AG37" s="26" t="s">
        <v>504</v>
      </c>
      <c r="AH37" s="26" t="s">
        <v>505</v>
      </c>
      <c r="AI37" s="27">
        <v>850</v>
      </c>
      <c r="AJ37" s="28" t="s">
        <v>34</v>
      </c>
      <c r="AK37" s="28" t="s">
        <v>427</v>
      </c>
      <c r="AL37" s="26">
        <v>1965</v>
      </c>
      <c r="AM37" s="26" t="s">
        <v>246</v>
      </c>
      <c r="AO37" s="32">
        <v>0</v>
      </c>
      <c r="AP37" s="32">
        <v>0</v>
      </c>
      <c r="AQ37" s="32">
        <v>27.1</v>
      </c>
      <c r="AR37" s="32">
        <v>41.04</v>
      </c>
      <c r="AS37" s="32">
        <v>74.47</v>
      </c>
      <c r="AT37" s="32">
        <v>15.93</v>
      </c>
      <c r="AU37" s="32">
        <v>0</v>
      </c>
      <c r="AV37" s="32">
        <v>210.44</v>
      </c>
      <c r="AW37" s="32">
        <v>74.28</v>
      </c>
      <c r="AX37" s="32">
        <v>52.93</v>
      </c>
      <c r="AY37" s="32">
        <v>52.93</v>
      </c>
      <c r="AZ37" s="32">
        <v>0</v>
      </c>
      <c r="BA37" s="33">
        <v>10.382400000000001</v>
      </c>
      <c r="BB37" s="33">
        <v>0</v>
      </c>
      <c r="BC37" s="33">
        <v>15.027963799999998</v>
      </c>
      <c r="BD37" s="33">
        <v>16.731293600000001</v>
      </c>
      <c r="BE37" s="33">
        <v>23.009525999999997</v>
      </c>
      <c r="BF37" s="33">
        <v>11.2374028</v>
      </c>
      <c r="BG37" s="33">
        <v>9.3892907999999995</v>
      </c>
      <c r="BH37" s="33">
        <v>27.165094799999999</v>
      </c>
      <c r="BI37" s="33">
        <v>21.799832400000003</v>
      </c>
      <c r="BJ37" s="33">
        <v>26.171402400000002</v>
      </c>
      <c r="BK37" s="33">
        <v>20.0999412</v>
      </c>
      <c r="BL37" s="33">
        <v>20.301366799999997</v>
      </c>
      <c r="BM37" s="33">
        <v>0</v>
      </c>
      <c r="BN37" s="34">
        <v>13.125526800000001</v>
      </c>
      <c r="BO37" s="34">
        <v>11.429275000000001</v>
      </c>
      <c r="BP37" s="34">
        <v>17.9024784</v>
      </c>
      <c r="BQ37" s="34">
        <v>31.244895800000005</v>
      </c>
      <c r="BR37" s="34">
        <v>47.431970800000009</v>
      </c>
      <c r="BS37" s="34">
        <v>12.123943199999999</v>
      </c>
      <c r="BT37" s="34">
        <v>28.796175000000002</v>
      </c>
      <c r="BU37" s="34">
        <v>26.989650000000005</v>
      </c>
      <c r="BV37" s="34">
        <v>9.3199719999999999</v>
      </c>
      <c r="BW37" s="34">
        <v>16.480408999999998</v>
      </c>
      <c r="BX37" s="34">
        <v>19.526806000000004</v>
      </c>
      <c r="BY37" s="34">
        <v>28.208488000000003</v>
      </c>
      <c r="BZ37" s="34">
        <v>56.974486800000001</v>
      </c>
      <c r="CA37" s="34">
        <v>17.3358284</v>
      </c>
      <c r="CB37" s="34">
        <v>38.0664132</v>
      </c>
      <c r="CC37" s="34">
        <v>25.590234600000002</v>
      </c>
      <c r="CD37" s="34">
        <v>0</v>
      </c>
      <c r="CE37" s="34">
        <v>14.179166400000002</v>
      </c>
      <c r="CF37" s="34">
        <v>0</v>
      </c>
      <c r="CG37" s="34">
        <v>17.676367599999999</v>
      </c>
      <c r="CH37" s="34">
        <v>24.471629200000002</v>
      </c>
      <c r="CI37" s="34">
        <v>86.004137599999993</v>
      </c>
      <c r="CJ37" s="34">
        <v>0</v>
      </c>
      <c r="CK37" s="34">
        <v>11.078071200000002</v>
      </c>
      <c r="CL37" s="34">
        <v>12.678623999999999</v>
      </c>
      <c r="CM37" s="34">
        <v>0</v>
      </c>
      <c r="CN37" s="34">
        <v>14.048966800000001</v>
      </c>
      <c r="CO37" s="34">
        <v>14.6907756</v>
      </c>
      <c r="CP37" s="34">
        <v>0</v>
      </c>
      <c r="CQ37" s="34">
        <v>18.0182556</v>
      </c>
      <c r="CR37" s="34">
        <v>8.1150159999999989</v>
      </c>
      <c r="CS37" s="34">
        <v>0</v>
      </c>
      <c r="CT37" s="35">
        <v>0</v>
      </c>
      <c r="CU37" s="35">
        <v>0</v>
      </c>
      <c r="CV37" s="35">
        <v>0</v>
      </c>
      <c r="CW37" s="35">
        <v>0</v>
      </c>
      <c r="CX37" s="35">
        <v>4.6243524000000011</v>
      </c>
      <c r="CY37" s="35">
        <v>6.7644864</v>
      </c>
      <c r="CZ37" s="35">
        <v>4.2488049999999999</v>
      </c>
      <c r="DA37" s="35">
        <v>0</v>
      </c>
      <c r="DB37" s="35">
        <v>11.702786</v>
      </c>
      <c r="DC37" s="35">
        <v>33.444307000000002</v>
      </c>
      <c r="DD37" s="35">
        <v>30.669743000000004</v>
      </c>
      <c r="DE37" s="35">
        <v>0</v>
      </c>
      <c r="DF37" s="35">
        <v>68.195335999999998</v>
      </c>
      <c r="DG37" s="35">
        <v>31.751554200000001</v>
      </c>
      <c r="DH37" s="35">
        <v>15.914325</v>
      </c>
      <c r="DI37" s="35">
        <v>45.813918199999996</v>
      </c>
      <c r="DJ37" s="35">
        <v>24.527865600000002</v>
      </c>
      <c r="DK37" s="35">
        <v>15.644239799999999</v>
      </c>
      <c r="DL37" s="35">
        <v>12.650125999999998</v>
      </c>
      <c r="DM37" s="35">
        <v>0</v>
      </c>
      <c r="DN37" s="35">
        <v>0</v>
      </c>
      <c r="DO37" s="35">
        <v>0</v>
      </c>
      <c r="DP37" s="35">
        <v>0</v>
      </c>
      <c r="DQ37" s="35">
        <v>0</v>
      </c>
      <c r="DR37" s="35">
        <v>50.184331199999995</v>
      </c>
      <c r="DS37" s="35">
        <v>0</v>
      </c>
      <c r="DT37" s="35">
        <v>0</v>
      </c>
      <c r="DU37" s="35">
        <v>73.074706199999994</v>
      </c>
      <c r="DV37" s="35">
        <v>18.837006800000001</v>
      </c>
      <c r="DW37" s="36">
        <v>0</v>
      </c>
      <c r="DX37" s="36">
        <v>0</v>
      </c>
      <c r="DY37" s="36">
        <v>0</v>
      </c>
      <c r="DZ37" s="36">
        <v>0</v>
      </c>
      <c r="EA37" s="36">
        <v>0</v>
      </c>
      <c r="EB37" s="29">
        <v>16</v>
      </c>
      <c r="EC37" s="29">
        <v>54.3</v>
      </c>
      <c r="ED37" s="29">
        <v>0</v>
      </c>
      <c r="EE37" s="29">
        <v>0</v>
      </c>
      <c r="EF37" s="30">
        <v>1987</v>
      </c>
      <c r="EG37" s="26">
        <v>0</v>
      </c>
      <c r="EH37" s="26">
        <v>0</v>
      </c>
      <c r="EI37" s="26">
        <v>0</v>
      </c>
      <c r="EJ37" s="26">
        <v>0</v>
      </c>
      <c r="EK37" s="108">
        <v>0.26</v>
      </c>
      <c r="EL37" s="108">
        <v>0.26</v>
      </c>
      <c r="EM37" s="108">
        <v>0.26</v>
      </c>
      <c r="EN37" s="108">
        <v>0.26</v>
      </c>
      <c r="EO37" s="108">
        <v>0.26</v>
      </c>
      <c r="EP37" s="108"/>
      <c r="EQ37" s="108"/>
      <c r="ER37" s="73">
        <v>120.42666666666668</v>
      </c>
      <c r="ES37" s="30">
        <v>895.19666666666672</v>
      </c>
      <c r="ET37" s="26">
        <v>17.95</v>
      </c>
      <c r="EU37" s="26">
        <v>321.50666666666666</v>
      </c>
      <c r="EV37" s="26">
        <v>24.246666666666666</v>
      </c>
      <c r="FB37" s="26">
        <v>0</v>
      </c>
      <c r="FC37" s="26">
        <v>7.5615079365079357E-2</v>
      </c>
      <c r="FD37" s="26">
        <v>0</v>
      </c>
      <c r="FE37" s="26">
        <v>0</v>
      </c>
      <c r="FF37" s="26">
        <v>0</v>
      </c>
      <c r="FG37" s="26">
        <v>77.591238095238097</v>
      </c>
      <c r="FH37" s="26">
        <v>0.21423015873015877</v>
      </c>
      <c r="FI37" s="26">
        <v>0</v>
      </c>
      <c r="FJ37" s="74">
        <v>0</v>
      </c>
      <c r="FK37" s="74">
        <v>100.9167056437179</v>
      </c>
      <c r="FL37" s="74">
        <v>0</v>
      </c>
      <c r="FM37" s="74">
        <v>0</v>
      </c>
      <c r="FN37" s="74">
        <v>0</v>
      </c>
      <c r="FO37" s="74">
        <v>72.538013888888912</v>
      </c>
      <c r="FP37" s="26">
        <v>0</v>
      </c>
      <c r="FQ37" s="26">
        <v>0</v>
      </c>
      <c r="FR37" s="74">
        <v>0</v>
      </c>
      <c r="FS37" s="26">
        <v>209.47914814814808</v>
      </c>
      <c r="FT37" s="26">
        <v>0</v>
      </c>
      <c r="FU37" s="26">
        <v>0</v>
      </c>
      <c r="FV37" s="26">
        <v>0</v>
      </c>
      <c r="FW37" s="26">
        <v>44.86119166666667</v>
      </c>
      <c r="FX37" s="26">
        <v>0</v>
      </c>
      <c r="FY37" s="26">
        <v>0</v>
      </c>
      <c r="FZ37" s="74">
        <v>0</v>
      </c>
      <c r="GA37" s="26">
        <v>48.741833333333332</v>
      </c>
      <c r="GB37" s="26">
        <v>8.246666666666666E-2</v>
      </c>
      <c r="GC37" s="26">
        <v>0</v>
      </c>
      <c r="GD37"/>
    </row>
    <row r="38" spans="1:186" s="6" customFormat="1" x14ac:dyDescent="0.2">
      <c r="A38" s="60" t="s">
        <v>980</v>
      </c>
      <c r="B38" s="6" t="s">
        <v>271</v>
      </c>
      <c r="C38" s="6" t="s">
        <v>273</v>
      </c>
      <c r="D38" s="6" t="s">
        <v>876</v>
      </c>
      <c r="I38" s="6">
        <v>1</v>
      </c>
      <c r="L38" s="6" t="s">
        <v>272</v>
      </c>
      <c r="M38" s="6" t="s">
        <v>981</v>
      </c>
      <c r="N38" s="6" t="s">
        <v>270</v>
      </c>
      <c r="O38" s="6" t="s">
        <v>671</v>
      </c>
      <c r="P38" s="6" t="s">
        <v>672</v>
      </c>
      <c r="T38">
        <v>1.8817671938051637</v>
      </c>
      <c r="U38">
        <v>0.98505485391754866</v>
      </c>
      <c r="V38">
        <v>2.1705711269354442</v>
      </c>
      <c r="W38">
        <v>1.119746057624901</v>
      </c>
      <c r="X38">
        <v>0.95800617339215366</v>
      </c>
      <c r="Y38">
        <v>0.97521294578864737</v>
      </c>
      <c r="Z38"/>
      <c r="AA38"/>
      <c r="AB38" s="61"/>
      <c r="AC38" s="61"/>
      <c r="AD38" s="62"/>
      <c r="AE38" s="63"/>
      <c r="AF38" s="63"/>
      <c r="AG38" s="6" t="s">
        <v>271</v>
      </c>
      <c r="AH38" s="6" t="s">
        <v>272</v>
      </c>
      <c r="AI38" s="2"/>
      <c r="AJ38" s="3" t="s">
        <v>273</v>
      </c>
      <c r="AK38" s="3" t="s">
        <v>270</v>
      </c>
      <c r="AL38" s="6">
        <v>365</v>
      </c>
      <c r="EK38"/>
      <c r="EL38"/>
      <c r="EM38"/>
      <c r="EN38"/>
      <c r="EO38"/>
      <c r="EP38"/>
      <c r="EQ38"/>
      <c r="FB38" s="65"/>
      <c r="GD38"/>
    </row>
    <row r="39" spans="1:186" s="6" customFormat="1" x14ac:dyDescent="0.2">
      <c r="A39" s="60" t="s">
        <v>1034</v>
      </c>
      <c r="B39" s="6" t="s">
        <v>175</v>
      </c>
      <c r="C39" s="6" t="s">
        <v>114</v>
      </c>
      <c r="D39" s="6" t="s">
        <v>255</v>
      </c>
      <c r="F39" s="6">
        <v>300327</v>
      </c>
      <c r="G39" s="6">
        <v>1</v>
      </c>
      <c r="J39" s="6">
        <v>1</v>
      </c>
      <c r="L39" s="6" t="s">
        <v>876</v>
      </c>
      <c r="M39" s="6" t="s">
        <v>876</v>
      </c>
      <c r="N39" s="6" t="s">
        <v>876</v>
      </c>
      <c r="O39" s="6" t="s">
        <v>876</v>
      </c>
      <c r="P39" s="6" t="s">
        <v>876</v>
      </c>
      <c r="T39"/>
      <c r="U39"/>
      <c r="V39"/>
      <c r="W39"/>
      <c r="X39"/>
      <c r="Y39"/>
      <c r="Z39"/>
      <c r="AA39"/>
      <c r="AB39" s="61"/>
      <c r="AC39" s="61"/>
      <c r="AD39" s="62"/>
      <c r="AE39" s="63"/>
      <c r="AF39" s="63"/>
      <c r="AG39" s="6" t="s">
        <v>175</v>
      </c>
      <c r="AI39" s="6">
        <v>300327</v>
      </c>
      <c r="AJ39" s="6" t="s">
        <v>114</v>
      </c>
      <c r="AK39" s="3" t="s">
        <v>427</v>
      </c>
      <c r="AL39" s="3"/>
      <c r="AM39" s="6" t="s">
        <v>189</v>
      </c>
      <c r="DW39" s="19">
        <v>0</v>
      </c>
      <c r="DX39" s="19">
        <v>0</v>
      </c>
      <c r="DY39" s="19">
        <v>0</v>
      </c>
      <c r="DZ39" s="19">
        <v>0</v>
      </c>
      <c r="EA39" s="19">
        <v>0</v>
      </c>
      <c r="EB39" s="17">
        <v>0</v>
      </c>
      <c r="EC39" s="17">
        <v>0</v>
      </c>
      <c r="ED39" s="17">
        <v>0</v>
      </c>
      <c r="EE39" s="17">
        <v>0</v>
      </c>
      <c r="EF39" s="17"/>
      <c r="EG39" s="17"/>
      <c r="EH39" s="17"/>
      <c r="EI39" s="17"/>
      <c r="EJ39" s="19"/>
      <c r="EK39" s="106">
        <v>1.67</v>
      </c>
      <c r="EL39" s="106">
        <v>1.67</v>
      </c>
      <c r="EM39" s="106">
        <v>1.67</v>
      </c>
      <c r="EN39" s="106">
        <v>1.67</v>
      </c>
      <c r="EO39" s="106">
        <v>1.67</v>
      </c>
      <c r="EP39" s="106"/>
      <c r="EQ39" s="106"/>
      <c r="FB39" s="65"/>
      <c r="GD39"/>
    </row>
    <row r="40" spans="1:186" s="6" customFormat="1" x14ac:dyDescent="0.2">
      <c r="A40" s="60" t="s">
        <v>1036</v>
      </c>
      <c r="B40" s="6" t="s">
        <v>146</v>
      </c>
      <c r="C40" s="6" t="s">
        <v>115</v>
      </c>
      <c r="D40" s="6" t="s">
        <v>255</v>
      </c>
      <c r="F40" s="6">
        <v>300334</v>
      </c>
      <c r="G40" s="6">
        <v>1</v>
      </c>
      <c r="J40" s="6">
        <v>1</v>
      </c>
      <c r="L40" s="6" t="s">
        <v>876</v>
      </c>
      <c r="M40" s="6" t="s">
        <v>876</v>
      </c>
      <c r="N40" s="6" t="s">
        <v>876</v>
      </c>
      <c r="O40" s="6" t="s">
        <v>876</v>
      </c>
      <c r="P40" s="6" t="s">
        <v>876</v>
      </c>
      <c r="T40"/>
      <c r="U40"/>
      <c r="V40"/>
      <c r="W40"/>
      <c r="X40"/>
      <c r="Y40"/>
      <c r="Z40"/>
      <c r="AA40"/>
      <c r="AB40" s="61"/>
      <c r="AC40" s="61"/>
      <c r="AD40" s="62"/>
      <c r="AE40" s="63"/>
      <c r="AF40" s="63"/>
      <c r="AG40" s="6" t="s">
        <v>146</v>
      </c>
      <c r="AI40" s="6">
        <v>300334</v>
      </c>
      <c r="AJ40" s="6" t="s">
        <v>115</v>
      </c>
      <c r="AK40" s="3" t="s">
        <v>427</v>
      </c>
      <c r="AL40" s="3"/>
      <c r="AM40" s="6" t="s">
        <v>189</v>
      </c>
      <c r="DW40" s="19">
        <v>0</v>
      </c>
      <c r="DX40" s="19">
        <v>0</v>
      </c>
      <c r="DY40" s="19">
        <v>0</v>
      </c>
      <c r="DZ40" s="19">
        <v>0</v>
      </c>
      <c r="EA40" s="19">
        <v>0</v>
      </c>
      <c r="EB40" s="17">
        <v>0</v>
      </c>
      <c r="EC40" s="17">
        <v>0</v>
      </c>
      <c r="ED40" s="17">
        <v>0</v>
      </c>
      <c r="EE40" s="17">
        <v>0</v>
      </c>
      <c r="EF40" s="17"/>
      <c r="EG40" s="17"/>
      <c r="EH40" s="17"/>
      <c r="EI40" s="17"/>
      <c r="EJ40" s="19"/>
      <c r="EK40" s="106">
        <v>1.67</v>
      </c>
      <c r="EL40" s="106">
        <v>1.67</v>
      </c>
      <c r="EM40" s="106">
        <v>1.67</v>
      </c>
      <c r="EN40" s="106">
        <v>1.67</v>
      </c>
      <c r="EO40" s="106">
        <v>1.67</v>
      </c>
      <c r="EP40" s="106"/>
      <c r="EQ40" s="106"/>
      <c r="FB40" s="65"/>
      <c r="GD40"/>
    </row>
    <row r="41" spans="1:186" s="6" customFormat="1" x14ac:dyDescent="0.2">
      <c r="A41" s="60" t="s">
        <v>1047</v>
      </c>
      <c r="B41" s="6" t="s">
        <v>556</v>
      </c>
      <c r="C41" s="6" t="s">
        <v>557</v>
      </c>
      <c r="D41" s="6" t="s">
        <v>876</v>
      </c>
      <c r="H41" s="6">
        <v>1</v>
      </c>
      <c r="L41" s="6" t="s">
        <v>876</v>
      </c>
      <c r="M41" s="6" t="s">
        <v>876</v>
      </c>
      <c r="N41" s="6" t="s">
        <v>427</v>
      </c>
      <c r="O41" s="6" t="s">
        <v>876</v>
      </c>
      <c r="P41" s="6" t="s">
        <v>876</v>
      </c>
      <c r="T41"/>
      <c r="U41"/>
      <c r="V41"/>
      <c r="W41"/>
      <c r="X41"/>
      <c r="Y41"/>
      <c r="Z41"/>
      <c r="AA41"/>
      <c r="AB41" s="61"/>
      <c r="AC41" s="61"/>
      <c r="AD41" s="62"/>
      <c r="AE41" s="63"/>
      <c r="AF41" s="63"/>
      <c r="AG41" s="6" t="s">
        <v>556</v>
      </c>
      <c r="AI41" s="6">
        <v>302301</v>
      </c>
      <c r="AJ41" s="6" t="s">
        <v>557</v>
      </c>
      <c r="AK41" s="3" t="s">
        <v>427</v>
      </c>
      <c r="AL41" s="3"/>
      <c r="AM41" s="6" t="s">
        <v>246</v>
      </c>
      <c r="DW41" s="19">
        <v>0</v>
      </c>
      <c r="DX41" s="19">
        <v>0</v>
      </c>
      <c r="DY41" s="19">
        <v>0</v>
      </c>
      <c r="DZ41" s="19">
        <v>0</v>
      </c>
      <c r="EA41" s="19">
        <v>0</v>
      </c>
      <c r="EB41" s="17">
        <v>0</v>
      </c>
      <c r="EC41" s="17">
        <v>0</v>
      </c>
      <c r="ED41" s="17">
        <v>0</v>
      </c>
      <c r="EE41" s="17">
        <v>0</v>
      </c>
      <c r="EF41" s="19"/>
      <c r="EG41" s="19"/>
      <c r="EH41" s="19"/>
      <c r="EI41" s="19"/>
      <c r="EK41">
        <v>1.67</v>
      </c>
      <c r="EL41">
        <v>1.67</v>
      </c>
      <c r="EM41">
        <v>1.67</v>
      </c>
      <c r="EN41">
        <v>1.67</v>
      </c>
      <c r="EO41">
        <v>1.67</v>
      </c>
      <c r="EP41"/>
      <c r="EQ41"/>
      <c r="FB41" s="65"/>
      <c r="GD41"/>
    </row>
    <row r="42" spans="1:186" s="6" customFormat="1" x14ac:dyDescent="0.2">
      <c r="A42" s="60" t="s">
        <v>1048</v>
      </c>
      <c r="B42" s="6" t="s">
        <v>558</v>
      </c>
      <c r="C42" s="6" t="s">
        <v>559</v>
      </c>
      <c r="D42" s="6" t="s">
        <v>876</v>
      </c>
      <c r="H42" s="6">
        <v>1</v>
      </c>
      <c r="L42" s="6" t="s">
        <v>876</v>
      </c>
      <c r="M42" s="6" t="s">
        <v>876</v>
      </c>
      <c r="N42" s="6" t="s">
        <v>427</v>
      </c>
      <c r="O42" s="6" t="s">
        <v>876</v>
      </c>
      <c r="P42" s="6" t="s">
        <v>876</v>
      </c>
      <c r="T42"/>
      <c r="U42"/>
      <c r="V42"/>
      <c r="W42"/>
      <c r="X42"/>
      <c r="Y42"/>
      <c r="Z42"/>
      <c r="AA42"/>
      <c r="AB42" s="61"/>
      <c r="AC42" s="61"/>
      <c r="AD42" s="62"/>
      <c r="AE42" s="63"/>
      <c r="AF42" s="63"/>
      <c r="AG42" s="6" t="s">
        <v>558</v>
      </c>
      <c r="AJ42" s="6" t="s">
        <v>559</v>
      </c>
      <c r="AK42" s="3" t="s">
        <v>427</v>
      </c>
      <c r="AL42" s="3"/>
      <c r="AM42" s="6" t="s">
        <v>246</v>
      </c>
      <c r="DW42" s="19">
        <v>0</v>
      </c>
      <c r="DX42" s="19">
        <v>0</v>
      </c>
      <c r="DY42" s="19">
        <v>0</v>
      </c>
      <c r="DZ42" s="19">
        <v>0</v>
      </c>
      <c r="EA42" s="19">
        <v>0</v>
      </c>
      <c r="EB42" s="17">
        <v>0</v>
      </c>
      <c r="EC42" s="17">
        <v>0</v>
      </c>
      <c r="ED42" s="17">
        <v>0</v>
      </c>
      <c r="EE42" s="17">
        <v>0</v>
      </c>
      <c r="EF42" s="17"/>
      <c r="EG42" s="17"/>
      <c r="EH42" s="17"/>
      <c r="EI42" s="17"/>
      <c r="EJ42" s="19"/>
      <c r="EK42">
        <v>1.67</v>
      </c>
      <c r="EL42">
        <v>1.67</v>
      </c>
      <c r="EM42">
        <v>1.67</v>
      </c>
      <c r="EN42">
        <v>1.67</v>
      </c>
      <c r="EO42">
        <v>1.67</v>
      </c>
      <c r="EP42"/>
      <c r="EQ42"/>
      <c r="GD42"/>
    </row>
    <row r="43" spans="1:186" s="6" customFormat="1" x14ac:dyDescent="0.2">
      <c r="A43" s="60" t="s">
        <v>856</v>
      </c>
      <c r="B43" s="6" t="s">
        <v>585</v>
      </c>
      <c r="C43" s="6" t="s">
        <v>392</v>
      </c>
      <c r="D43" s="6" t="s">
        <v>255</v>
      </c>
      <c r="F43" s="6">
        <v>301735</v>
      </c>
      <c r="H43" s="6">
        <v>1</v>
      </c>
      <c r="I43" s="6">
        <v>1</v>
      </c>
      <c r="J43" s="6">
        <v>1</v>
      </c>
      <c r="L43" s="6" t="s">
        <v>387</v>
      </c>
      <c r="M43" s="6" t="s">
        <v>857</v>
      </c>
      <c r="N43" s="6" t="s">
        <v>201</v>
      </c>
      <c r="O43" s="6" t="s">
        <v>671</v>
      </c>
      <c r="P43" s="6" t="s">
        <v>672</v>
      </c>
      <c r="T43">
        <v>48.145923840361625</v>
      </c>
      <c r="U43">
        <v>35.600743424392867</v>
      </c>
      <c r="V43">
        <v>53.848523097805405</v>
      </c>
      <c r="W43">
        <v>59.985923928972504</v>
      </c>
      <c r="X43">
        <v>4.1050832908307001E-2</v>
      </c>
      <c r="Y43">
        <v>0.13027379325047991</v>
      </c>
      <c r="Z43" s="64">
        <v>85</v>
      </c>
      <c r="AA43" s="64"/>
      <c r="AB43" s="61"/>
      <c r="AC43" s="61"/>
      <c r="AD43" s="62"/>
      <c r="AE43" s="63"/>
      <c r="AF43" s="63"/>
      <c r="AG43" s="6" t="s">
        <v>390</v>
      </c>
      <c r="AH43" s="6" t="s">
        <v>391</v>
      </c>
      <c r="AI43" s="2"/>
      <c r="AJ43" s="3" t="s">
        <v>392</v>
      </c>
      <c r="AK43" s="3" t="s">
        <v>201</v>
      </c>
      <c r="AL43" s="6">
        <v>721</v>
      </c>
      <c r="AM43" s="6" t="s">
        <v>193</v>
      </c>
      <c r="EK43"/>
      <c r="EL43"/>
      <c r="EM43"/>
      <c r="EN43"/>
      <c r="EO43"/>
      <c r="EP43"/>
      <c r="EQ43"/>
      <c r="ER43" s="75">
        <v>0</v>
      </c>
      <c r="ES43" s="6">
        <v>0</v>
      </c>
      <c r="ET43" s="6">
        <v>2.67</v>
      </c>
      <c r="EU43" s="6">
        <v>33.676666666666669</v>
      </c>
      <c r="EV43" s="6">
        <v>2.563333333333333</v>
      </c>
      <c r="FB43" s="6">
        <v>0</v>
      </c>
      <c r="FC43" s="6">
        <v>0</v>
      </c>
      <c r="FD43" s="6">
        <v>0</v>
      </c>
      <c r="FE43" s="6">
        <v>0</v>
      </c>
      <c r="FF43" s="6">
        <v>0</v>
      </c>
      <c r="FG43" s="6">
        <v>0</v>
      </c>
      <c r="FH43" s="6">
        <v>0</v>
      </c>
      <c r="FI43" s="6">
        <v>0</v>
      </c>
      <c r="FJ43" s="66">
        <v>0</v>
      </c>
      <c r="FK43" s="66">
        <v>0</v>
      </c>
      <c r="FL43" s="66">
        <v>0</v>
      </c>
      <c r="FM43" s="66">
        <v>0</v>
      </c>
      <c r="FN43" s="66">
        <v>0</v>
      </c>
      <c r="FO43" s="66">
        <v>0</v>
      </c>
      <c r="FP43" s="6">
        <v>0</v>
      </c>
      <c r="FQ43" s="6">
        <v>0</v>
      </c>
      <c r="FR43" s="66">
        <v>0</v>
      </c>
      <c r="FS43" s="6">
        <v>0</v>
      </c>
      <c r="FT43" s="6">
        <v>0</v>
      </c>
      <c r="FU43" s="6">
        <v>0</v>
      </c>
      <c r="FV43" s="6">
        <v>0</v>
      </c>
      <c r="FW43" s="6">
        <v>0</v>
      </c>
      <c r="FX43" s="6">
        <v>0</v>
      </c>
      <c r="FY43" s="6">
        <v>0</v>
      </c>
      <c r="FZ43" s="66">
        <v>0</v>
      </c>
      <c r="GA43" s="6">
        <v>0</v>
      </c>
      <c r="GB43" s="6">
        <v>0</v>
      </c>
      <c r="GC43" s="6">
        <v>0</v>
      </c>
      <c r="GD43"/>
    </row>
    <row r="44" spans="1:186" s="6" customFormat="1" x14ac:dyDescent="0.2">
      <c r="A44" s="60" t="s">
        <v>950</v>
      </c>
      <c r="B44" s="6" t="s">
        <v>951</v>
      </c>
      <c r="C44" s="6" t="s">
        <v>493</v>
      </c>
      <c r="D44" s="6" t="s">
        <v>876</v>
      </c>
      <c r="H44" s="6">
        <v>1</v>
      </c>
      <c r="I44" s="6">
        <v>1</v>
      </c>
      <c r="L44" s="6" t="s">
        <v>492</v>
      </c>
      <c r="M44" s="6" t="s">
        <v>952</v>
      </c>
      <c r="N44" s="6" t="s">
        <v>473</v>
      </c>
      <c r="O44" s="6" t="s">
        <v>671</v>
      </c>
      <c r="P44" s="6" t="s">
        <v>672</v>
      </c>
      <c r="T44">
        <v>10000</v>
      </c>
      <c r="U44">
        <v>26.91599397989102</v>
      </c>
      <c r="V44">
        <v>10000</v>
      </c>
      <c r="W44">
        <v>35.628648909916592</v>
      </c>
      <c r="X44">
        <v>5.7302659952137402E-2</v>
      </c>
      <c r="Y44">
        <v>7.8125002144317987E-2</v>
      </c>
      <c r="Z44" s="64">
        <v>152</v>
      </c>
      <c r="AA44" s="64"/>
      <c r="AB44" s="61"/>
      <c r="AC44" s="61"/>
      <c r="AD44" s="62"/>
      <c r="AE44" s="63"/>
      <c r="AF44" s="63"/>
      <c r="AG44" s="6" t="s">
        <v>491</v>
      </c>
      <c r="AH44" s="6" t="s">
        <v>492</v>
      </c>
      <c r="AI44" s="2"/>
      <c r="AJ44" s="3" t="s">
        <v>493</v>
      </c>
      <c r="AK44" s="3" t="s">
        <v>473</v>
      </c>
      <c r="AL44" s="6">
        <v>1618</v>
      </c>
      <c r="AM44" s="6" t="s">
        <v>193</v>
      </c>
      <c r="EB44" s="19"/>
      <c r="EC44" s="19"/>
      <c r="ED44" s="19"/>
      <c r="EE44" s="19"/>
      <c r="EF44" s="19"/>
      <c r="EG44" s="19"/>
      <c r="EH44" s="19"/>
      <c r="EI44" s="19"/>
      <c r="EK44"/>
      <c r="EL44"/>
      <c r="EM44"/>
      <c r="EN44"/>
      <c r="EO44"/>
      <c r="EP44"/>
      <c r="EQ44"/>
      <c r="ER44" s="65">
        <v>606.15666666666664</v>
      </c>
      <c r="ES44" s="6">
        <v>580.89222222222213</v>
      </c>
      <c r="ET44" s="6">
        <v>14.569642938000463</v>
      </c>
      <c r="EU44" s="6">
        <v>685.01716541033636</v>
      </c>
      <c r="EV44" s="6">
        <v>0</v>
      </c>
      <c r="FB44" s="6">
        <v>0</v>
      </c>
      <c r="FC44" s="6">
        <v>0</v>
      </c>
      <c r="FD44" s="6">
        <v>0</v>
      </c>
      <c r="FE44" s="6">
        <v>0</v>
      </c>
      <c r="FF44" s="6">
        <v>0</v>
      </c>
      <c r="FG44" s="6">
        <v>1.5319428571428571</v>
      </c>
      <c r="FH44" s="6">
        <v>0</v>
      </c>
      <c r="FI44" s="6">
        <v>0</v>
      </c>
      <c r="FJ44" s="66">
        <v>0</v>
      </c>
      <c r="FK44" s="66">
        <v>25.615099999999998</v>
      </c>
      <c r="FL44" s="66">
        <v>0</v>
      </c>
      <c r="FM44" s="66">
        <v>0</v>
      </c>
      <c r="FN44" s="66">
        <v>0</v>
      </c>
      <c r="FO44" s="66">
        <v>46.529166666666669</v>
      </c>
      <c r="FP44" s="6">
        <v>0</v>
      </c>
      <c r="FQ44" s="6">
        <v>0</v>
      </c>
      <c r="FR44" s="66">
        <v>0</v>
      </c>
      <c r="FS44" s="6">
        <v>45.608111111111114</v>
      </c>
      <c r="FT44" s="6">
        <v>0</v>
      </c>
      <c r="FU44" s="6">
        <v>0</v>
      </c>
      <c r="FV44" s="6">
        <v>0</v>
      </c>
      <c r="FW44" s="6">
        <v>25.792083333333331</v>
      </c>
      <c r="FX44" s="6">
        <v>0</v>
      </c>
      <c r="FY44" s="6">
        <v>0</v>
      </c>
      <c r="FZ44" s="66">
        <v>0</v>
      </c>
      <c r="GA44" s="6">
        <v>32.371428571428574</v>
      </c>
      <c r="GB44" s="6">
        <v>0</v>
      </c>
      <c r="GC44" s="6">
        <v>0</v>
      </c>
      <c r="GD44"/>
    </row>
    <row r="45" spans="1:186" s="6" customFormat="1" x14ac:dyDescent="0.2">
      <c r="A45" s="60" t="s">
        <v>1025</v>
      </c>
      <c r="B45" s="6" t="s">
        <v>153</v>
      </c>
      <c r="C45" s="6" t="s">
        <v>96</v>
      </c>
      <c r="D45" s="6" t="s">
        <v>255</v>
      </c>
      <c r="F45" s="6">
        <v>300505</v>
      </c>
      <c r="G45" s="6">
        <v>1</v>
      </c>
      <c r="H45" s="6">
        <v>1</v>
      </c>
      <c r="J45" s="6">
        <v>1</v>
      </c>
      <c r="L45" s="6" t="s">
        <v>876</v>
      </c>
      <c r="M45" s="6" t="s">
        <v>1026</v>
      </c>
      <c r="N45" s="6" t="s">
        <v>427</v>
      </c>
      <c r="O45" s="6" t="s">
        <v>876</v>
      </c>
      <c r="P45" s="6" t="s">
        <v>876</v>
      </c>
      <c r="T45"/>
      <c r="U45"/>
      <c r="V45"/>
      <c r="W45"/>
      <c r="X45"/>
      <c r="Y45"/>
      <c r="Z45"/>
      <c r="AA45">
        <v>20</v>
      </c>
      <c r="AB45" s="52">
        <v>3.6100000000000003E-5</v>
      </c>
      <c r="AC45" s="53">
        <v>2E-3</v>
      </c>
      <c r="AD45" s="54">
        <v>1.45</v>
      </c>
      <c r="AE45" s="54">
        <v>25.9</v>
      </c>
      <c r="AF45" s="54">
        <v>25.4</v>
      </c>
      <c r="AG45" s="6" t="s">
        <v>153</v>
      </c>
      <c r="AI45" s="6">
        <v>300505</v>
      </c>
      <c r="AJ45" s="6" t="s">
        <v>96</v>
      </c>
      <c r="AK45" s="3" t="s">
        <v>427</v>
      </c>
      <c r="AL45" s="3"/>
      <c r="AM45" s="6" t="s">
        <v>246</v>
      </c>
      <c r="AN45" s="6" t="s">
        <v>567</v>
      </c>
      <c r="DW45" s="19">
        <v>14</v>
      </c>
      <c r="DX45" s="19">
        <v>16</v>
      </c>
      <c r="DY45" s="19">
        <v>56</v>
      </c>
      <c r="DZ45" s="19">
        <v>42</v>
      </c>
      <c r="EA45" s="19">
        <v>22</v>
      </c>
      <c r="EB45" s="17">
        <v>188</v>
      </c>
      <c r="EC45" s="17">
        <v>450</v>
      </c>
      <c r="ED45" s="17">
        <v>71.900000000000006</v>
      </c>
      <c r="EE45" s="17">
        <v>47</v>
      </c>
      <c r="EF45" s="17"/>
      <c r="EG45" s="17"/>
      <c r="EH45" s="17"/>
      <c r="EI45" s="17"/>
      <c r="EJ45" s="19"/>
      <c r="EK45" s="106">
        <v>30.3</v>
      </c>
      <c r="EL45" s="106">
        <v>2.14</v>
      </c>
      <c r="EM45" s="106">
        <v>6.43</v>
      </c>
      <c r="EN45" s="106">
        <v>5.78</v>
      </c>
      <c r="EO45" s="106">
        <v>6.55</v>
      </c>
      <c r="EP45" s="106"/>
      <c r="EQ45" s="106"/>
      <c r="ER45" s="65">
        <v>750.52333333333343</v>
      </c>
      <c r="ES45" s="14">
        <v>1854.5166666666664</v>
      </c>
      <c r="ET45" s="6">
        <v>18.790000000000003</v>
      </c>
      <c r="EU45" s="6">
        <v>1267.6899999999998</v>
      </c>
      <c r="EV45" s="6">
        <v>723.91666666666663</v>
      </c>
      <c r="FB45" s="6">
        <v>0</v>
      </c>
      <c r="FC45" s="6">
        <v>0.10270238095238095</v>
      </c>
      <c r="FD45" s="6">
        <v>0</v>
      </c>
      <c r="FE45" s="6">
        <v>0</v>
      </c>
      <c r="FF45" s="6">
        <v>0</v>
      </c>
      <c r="FG45" s="6">
        <v>12.497642857142845</v>
      </c>
      <c r="FH45" s="6">
        <v>0</v>
      </c>
      <c r="FI45" s="6">
        <v>0</v>
      </c>
      <c r="FJ45" s="66">
        <v>0</v>
      </c>
      <c r="FK45" s="66">
        <v>8.1981228174839913</v>
      </c>
      <c r="FL45" s="66">
        <v>0</v>
      </c>
      <c r="FM45" s="66">
        <v>0</v>
      </c>
      <c r="FN45" s="66">
        <v>0</v>
      </c>
      <c r="FO45" s="66">
        <v>9.7704166666666694</v>
      </c>
      <c r="FP45" s="6">
        <v>0</v>
      </c>
      <c r="FQ45" s="6">
        <v>0</v>
      </c>
      <c r="FR45" s="66">
        <v>0</v>
      </c>
      <c r="FS45" s="6">
        <v>19.475111111111111</v>
      </c>
      <c r="FT45" s="6">
        <v>0</v>
      </c>
      <c r="FU45" s="6">
        <v>0</v>
      </c>
      <c r="FV45" s="6">
        <v>0</v>
      </c>
      <c r="FW45" s="6">
        <v>5.9162500000000007</v>
      </c>
      <c r="FX45" s="6">
        <v>0</v>
      </c>
      <c r="FY45" s="6">
        <v>0</v>
      </c>
      <c r="FZ45" s="66">
        <v>0</v>
      </c>
      <c r="GA45" s="6">
        <v>4.0270000000000001</v>
      </c>
      <c r="GB45" s="6">
        <v>0</v>
      </c>
      <c r="GC45" s="6">
        <v>0</v>
      </c>
      <c r="GD45"/>
    </row>
    <row r="46" spans="1:186" s="6" customFormat="1" x14ac:dyDescent="0.2">
      <c r="A46" s="60" t="s">
        <v>764</v>
      </c>
      <c r="B46" s="6" t="s">
        <v>142</v>
      </c>
      <c r="C46" s="6" t="s">
        <v>102</v>
      </c>
      <c r="D46" s="6" t="s">
        <v>255</v>
      </c>
      <c r="F46" s="6">
        <v>278</v>
      </c>
      <c r="G46" s="6">
        <v>1</v>
      </c>
      <c r="I46" s="6">
        <v>1</v>
      </c>
      <c r="J46" s="6">
        <v>1</v>
      </c>
      <c r="L46" s="6" t="s">
        <v>463</v>
      </c>
      <c r="M46" s="6" t="s">
        <v>765</v>
      </c>
      <c r="N46" s="6" t="s">
        <v>427</v>
      </c>
      <c r="O46" s="6" t="s">
        <v>671</v>
      </c>
      <c r="P46" s="6" t="s">
        <v>672</v>
      </c>
      <c r="T46">
        <v>134.12823057206046</v>
      </c>
      <c r="U46">
        <v>5.8755966844290937</v>
      </c>
      <c r="V46">
        <v>10000</v>
      </c>
      <c r="W46">
        <v>13.724017114194545</v>
      </c>
      <c r="X46">
        <v>9.6615379544245997E-2</v>
      </c>
      <c r="Y46">
        <v>0.68321162968502136</v>
      </c>
      <c r="Z46" s="64">
        <v>103</v>
      </c>
      <c r="AA46" s="64">
        <v>0.3</v>
      </c>
      <c r="AB46" s="52">
        <v>5.0599999999999997E-5</v>
      </c>
      <c r="AC46" s="53">
        <v>1.4E-3</v>
      </c>
      <c r="AD46" s="55">
        <v>1.1E-4</v>
      </c>
      <c r="AE46" s="54">
        <v>6.1</v>
      </c>
      <c r="AF46" s="54">
        <v>6.1</v>
      </c>
      <c r="AG46" s="6" t="s">
        <v>462</v>
      </c>
      <c r="AH46" s="6" t="s">
        <v>463</v>
      </c>
      <c r="AI46" s="2">
        <v>278</v>
      </c>
      <c r="AJ46" s="3" t="s">
        <v>102</v>
      </c>
      <c r="AK46" s="3" t="s">
        <v>427</v>
      </c>
      <c r="AL46" s="6">
        <v>1180</v>
      </c>
      <c r="AM46" s="6" t="s">
        <v>189</v>
      </c>
      <c r="DW46" s="19">
        <v>8.6</v>
      </c>
      <c r="DX46" s="19">
        <v>8.9</v>
      </c>
      <c r="DY46" s="19">
        <v>28</v>
      </c>
      <c r="DZ46" s="19">
        <v>19</v>
      </c>
      <c r="EA46" s="19">
        <v>13</v>
      </c>
      <c r="EB46" s="17">
        <v>112</v>
      </c>
      <c r="EC46" s="17">
        <v>351</v>
      </c>
      <c r="ED46" s="17">
        <v>29.3</v>
      </c>
      <c r="EE46" s="17">
        <v>23.2</v>
      </c>
      <c r="EF46" s="17"/>
      <c r="EG46" s="17"/>
      <c r="EH46" s="17"/>
      <c r="EI46" s="17"/>
      <c r="EJ46" s="19"/>
      <c r="EK46" s="106">
        <v>5.44</v>
      </c>
      <c r="EL46" s="106">
        <v>2.5099999999999998</v>
      </c>
      <c r="EM46" s="106">
        <v>2.7</v>
      </c>
      <c r="EN46" s="106">
        <v>2.35</v>
      </c>
      <c r="EO46" s="106">
        <v>4.37</v>
      </c>
      <c r="EP46" s="106"/>
      <c r="EQ46" s="106"/>
      <c r="FB46" s="78"/>
      <c r="GD46"/>
    </row>
    <row r="47" spans="1:186" s="26" customFormat="1" x14ac:dyDescent="0.2">
      <c r="A47" s="68" t="s">
        <v>758</v>
      </c>
      <c r="B47" s="26" t="s">
        <v>177</v>
      </c>
      <c r="C47" s="26" t="s">
        <v>106</v>
      </c>
      <c r="D47" s="26" t="s">
        <v>255</v>
      </c>
      <c r="F47" s="26">
        <v>300409</v>
      </c>
      <c r="G47" s="26">
        <v>1</v>
      </c>
      <c r="H47" s="26">
        <v>1</v>
      </c>
      <c r="I47" s="26">
        <v>1</v>
      </c>
      <c r="J47" s="26">
        <v>1</v>
      </c>
      <c r="L47" s="26" t="s">
        <v>520</v>
      </c>
      <c r="M47" s="26" t="s">
        <v>759</v>
      </c>
      <c r="N47" s="26" t="s">
        <v>473</v>
      </c>
      <c r="O47" s="26" t="s">
        <v>671</v>
      </c>
      <c r="P47" s="26" t="s">
        <v>672</v>
      </c>
      <c r="T47" s="39">
        <v>378.98632275704426</v>
      </c>
      <c r="U47" s="39">
        <v>24.929173647038759</v>
      </c>
      <c r="V47" s="39">
        <v>10000</v>
      </c>
      <c r="W47" s="39">
        <v>10000</v>
      </c>
      <c r="X47" s="39">
        <v>3.5183061894981452E-2</v>
      </c>
      <c r="Y47" s="39">
        <v>0.10415866816936317</v>
      </c>
      <c r="Z47" s="69">
        <v>251</v>
      </c>
      <c r="AA47" s="69"/>
      <c r="AB47" s="70"/>
      <c r="AC47" s="70"/>
      <c r="AD47" s="71"/>
      <c r="AE47" s="72"/>
      <c r="AF47" s="72"/>
      <c r="AG47" s="26" t="s">
        <v>517</v>
      </c>
      <c r="AH47" s="26" t="s">
        <v>518</v>
      </c>
      <c r="AI47" s="27">
        <v>300409</v>
      </c>
      <c r="AJ47" s="28" t="s">
        <v>106</v>
      </c>
      <c r="AK47" s="28" t="s">
        <v>473</v>
      </c>
      <c r="AL47" s="26">
        <v>2327</v>
      </c>
      <c r="AM47" s="26" t="s">
        <v>246</v>
      </c>
      <c r="DW47" s="36">
        <v>0</v>
      </c>
      <c r="DX47" s="36">
        <v>0</v>
      </c>
      <c r="DY47" s="36">
        <v>0</v>
      </c>
      <c r="DZ47" s="36">
        <v>0</v>
      </c>
      <c r="EA47" s="36">
        <v>0</v>
      </c>
      <c r="EB47" s="29">
        <v>0</v>
      </c>
      <c r="EC47" s="29">
        <v>0</v>
      </c>
      <c r="ED47" s="29">
        <v>0</v>
      </c>
      <c r="EE47" s="29">
        <v>0</v>
      </c>
      <c r="EF47" s="29"/>
      <c r="EG47" s="29"/>
      <c r="EH47" s="29"/>
      <c r="EI47" s="29"/>
      <c r="EJ47" s="36"/>
      <c r="EK47" s="108">
        <v>1.67</v>
      </c>
      <c r="EL47" s="108">
        <v>1.67</v>
      </c>
      <c r="EM47" s="108">
        <v>1.67</v>
      </c>
      <c r="EN47" s="108">
        <v>1.67</v>
      </c>
      <c r="EO47" s="108">
        <v>1.67</v>
      </c>
      <c r="EP47" s="108"/>
      <c r="EQ47" s="108"/>
      <c r="ER47" s="80">
        <v>0</v>
      </c>
      <c r="ES47" s="26">
        <v>0</v>
      </c>
      <c r="ET47" s="26">
        <v>92.071332639604819</v>
      </c>
      <c r="EU47" s="26">
        <v>4430.9908024273846</v>
      </c>
      <c r="EV47" s="26">
        <v>0</v>
      </c>
      <c r="GD47"/>
    </row>
    <row r="48" spans="1:186" s="6" customFormat="1" x14ac:dyDescent="0.2">
      <c r="A48" s="60" t="s">
        <v>947</v>
      </c>
      <c r="B48" s="6" t="s">
        <v>948</v>
      </c>
      <c r="C48" s="6" t="s">
        <v>490</v>
      </c>
      <c r="D48" s="6" t="s">
        <v>876</v>
      </c>
      <c r="H48" s="6">
        <v>1</v>
      </c>
      <c r="I48" s="6">
        <v>1</v>
      </c>
      <c r="L48" s="6" t="s">
        <v>489</v>
      </c>
      <c r="M48" s="6" t="s">
        <v>949</v>
      </c>
      <c r="N48" s="6" t="s">
        <v>473</v>
      </c>
      <c r="O48" s="6" t="s">
        <v>671</v>
      </c>
      <c r="P48" s="6" t="s">
        <v>672</v>
      </c>
      <c r="T48">
        <v>10000</v>
      </c>
      <c r="U48">
        <v>3.2880272105388819</v>
      </c>
      <c r="V48">
        <v>10000</v>
      </c>
      <c r="W48">
        <v>5.7552094577892703</v>
      </c>
      <c r="X48">
        <v>6.7708327816304398E-2</v>
      </c>
      <c r="Y48">
        <v>0.17667336996226718</v>
      </c>
      <c r="Z48" s="64">
        <v>69</v>
      </c>
      <c r="AA48" s="64"/>
      <c r="AB48" s="61"/>
      <c r="AC48" s="61"/>
      <c r="AD48" s="62"/>
      <c r="AE48" s="63"/>
      <c r="AF48" s="63"/>
      <c r="AG48" s="6" t="s">
        <v>488</v>
      </c>
      <c r="AH48" s="6" t="s">
        <v>489</v>
      </c>
      <c r="AI48" s="2"/>
      <c r="AJ48" s="3" t="s">
        <v>490</v>
      </c>
      <c r="AK48" s="3" t="s">
        <v>473</v>
      </c>
      <c r="AL48" s="6">
        <v>1617</v>
      </c>
      <c r="AM48" s="6" t="s">
        <v>193</v>
      </c>
      <c r="EK48"/>
      <c r="EL48"/>
      <c r="EM48"/>
      <c r="EN48"/>
      <c r="EO48"/>
      <c r="EP48"/>
      <c r="EQ48"/>
      <c r="FC48" s="14"/>
      <c r="FD48" s="14"/>
      <c r="FE48" s="14"/>
      <c r="GD48"/>
    </row>
    <row r="49" spans="1:186" s="26" customFormat="1" x14ac:dyDescent="0.2">
      <c r="A49" s="68" t="s">
        <v>694</v>
      </c>
      <c r="B49" s="26" t="s">
        <v>133</v>
      </c>
      <c r="C49" s="26" t="s">
        <v>20</v>
      </c>
      <c r="D49" s="26" t="s">
        <v>255</v>
      </c>
      <c r="F49" s="26">
        <v>275</v>
      </c>
      <c r="G49" s="26">
        <v>1</v>
      </c>
      <c r="H49" s="26">
        <v>1</v>
      </c>
      <c r="I49" s="26">
        <v>1</v>
      </c>
      <c r="J49" s="26">
        <v>1</v>
      </c>
      <c r="L49" s="26" t="s">
        <v>695</v>
      </c>
      <c r="M49" s="26" t="s">
        <v>696</v>
      </c>
      <c r="N49" s="26" t="s">
        <v>427</v>
      </c>
      <c r="O49" s="26" t="s">
        <v>678</v>
      </c>
      <c r="P49" s="26" t="s">
        <v>679</v>
      </c>
      <c r="S49" s="26">
        <v>1</v>
      </c>
      <c r="T49" s="39">
        <v>70.129454090604753</v>
      </c>
      <c r="U49" s="39">
        <v>10000</v>
      </c>
      <c r="V49" s="39">
        <v>10000</v>
      </c>
      <c r="W49" s="39">
        <v>10000</v>
      </c>
      <c r="X49" s="39">
        <v>7.3982523369017422E-2</v>
      </c>
      <c r="Y49" s="39">
        <v>9.7255583645765781E-2</v>
      </c>
      <c r="Z49" s="69">
        <v>19</v>
      </c>
      <c r="AA49" s="69">
        <v>0.8</v>
      </c>
      <c r="AB49" s="56">
        <v>4.6999999999999997E-5</v>
      </c>
      <c r="AC49" s="57">
        <v>1.5200000000000001E-3</v>
      </c>
      <c r="AD49" s="59">
        <v>1.1E-4</v>
      </c>
      <c r="AE49" s="58">
        <v>7.3</v>
      </c>
      <c r="AF49" s="58">
        <v>7.3</v>
      </c>
      <c r="AG49" s="26" t="s">
        <v>449</v>
      </c>
      <c r="AH49" s="26" t="s">
        <v>450</v>
      </c>
      <c r="AI49" s="31">
        <v>275</v>
      </c>
      <c r="AJ49" s="28" t="s">
        <v>20</v>
      </c>
      <c r="AK49" s="28" t="s">
        <v>427</v>
      </c>
      <c r="AL49" s="26">
        <v>1175</v>
      </c>
      <c r="AM49" s="26" t="s">
        <v>246</v>
      </c>
      <c r="AO49" s="32">
        <v>69.38</v>
      </c>
      <c r="AP49" s="32">
        <v>37.28</v>
      </c>
      <c r="AQ49" s="32">
        <v>187.59</v>
      </c>
      <c r="AR49" s="32">
        <v>357.77</v>
      </c>
      <c r="AS49" s="32">
        <v>746.86</v>
      </c>
      <c r="AT49" s="32">
        <v>152.86000000000001</v>
      </c>
      <c r="AU49" s="32">
        <v>50.41</v>
      </c>
      <c r="AV49" s="32">
        <v>774.16</v>
      </c>
      <c r="AW49" s="32">
        <v>401.92</v>
      </c>
      <c r="AX49" s="32">
        <v>436.97</v>
      </c>
      <c r="AY49" s="32">
        <v>436.97</v>
      </c>
      <c r="AZ49" s="32">
        <v>24.99</v>
      </c>
      <c r="BA49" s="33">
        <v>51.680795599999996</v>
      </c>
      <c r="BB49" s="33">
        <v>28.4848192</v>
      </c>
      <c r="BC49" s="33">
        <v>75.118051200000011</v>
      </c>
      <c r="BD49" s="33">
        <v>111.96803420000001</v>
      </c>
      <c r="BE49" s="33">
        <v>182.2430502</v>
      </c>
      <c r="BF49" s="33">
        <v>55.261532799999998</v>
      </c>
      <c r="BG49" s="33">
        <v>27.627929999999999</v>
      </c>
      <c r="BH49" s="33">
        <v>175.83929040000001</v>
      </c>
      <c r="BI49" s="33">
        <v>136.21543260000001</v>
      </c>
      <c r="BJ49" s="33">
        <v>180.93054000000001</v>
      </c>
      <c r="BK49" s="33">
        <v>143.60041080000002</v>
      </c>
      <c r="BL49" s="33">
        <v>130.82557260000002</v>
      </c>
      <c r="BM49" s="33">
        <v>12.267758799999999</v>
      </c>
      <c r="BN49" s="34">
        <v>105.93110959999998</v>
      </c>
      <c r="BO49" s="34">
        <v>75.857059000000007</v>
      </c>
      <c r="BP49" s="34">
        <v>232.29873720000001</v>
      </c>
      <c r="BQ49" s="34">
        <v>410.02047239999996</v>
      </c>
      <c r="BR49" s="34">
        <v>623.58856560000004</v>
      </c>
      <c r="BS49" s="34">
        <v>128.21972819999999</v>
      </c>
      <c r="BT49" s="34">
        <v>423.65608719999994</v>
      </c>
      <c r="BU49" s="34">
        <v>419.86764840000001</v>
      </c>
      <c r="BV49" s="34">
        <v>71.837483200000008</v>
      </c>
      <c r="BW49" s="34">
        <v>142.8860928</v>
      </c>
      <c r="BX49" s="34">
        <v>188.39472060000003</v>
      </c>
      <c r="BY49" s="34">
        <v>366.19854900000001</v>
      </c>
      <c r="BZ49" s="34">
        <v>781.43081800000016</v>
      </c>
      <c r="CA49" s="34">
        <v>190.98244439999999</v>
      </c>
      <c r="CB49" s="34">
        <v>601.43414799999994</v>
      </c>
      <c r="CC49" s="34">
        <v>418.84225099999998</v>
      </c>
      <c r="CD49" s="34">
        <v>77.949700200000009</v>
      </c>
      <c r="CE49" s="34">
        <v>187.9850232</v>
      </c>
      <c r="CF49" s="34">
        <v>38.555747999999994</v>
      </c>
      <c r="CG49" s="34">
        <v>281.29757920000003</v>
      </c>
      <c r="CH49" s="34">
        <v>363.48043380000001</v>
      </c>
      <c r="CI49" s="34">
        <v>1349.2122300000001</v>
      </c>
      <c r="CJ49" s="34">
        <v>90.292905599999983</v>
      </c>
      <c r="CK49" s="34">
        <v>188.92621760000003</v>
      </c>
      <c r="CL49" s="34">
        <v>79.370533199999983</v>
      </c>
      <c r="CM49" s="34">
        <v>49.915534600000001</v>
      </c>
      <c r="CN49" s="34">
        <v>108.66572640000001</v>
      </c>
      <c r="CO49" s="34">
        <v>110.1284856</v>
      </c>
      <c r="CP49" s="34">
        <v>27.252349600000002</v>
      </c>
      <c r="CQ49" s="34">
        <v>189.71023099999999</v>
      </c>
      <c r="CR49" s="34">
        <v>69.515787599999996</v>
      </c>
      <c r="CS49" s="34">
        <v>17.295098400000001</v>
      </c>
      <c r="CT49" s="35">
        <v>0</v>
      </c>
      <c r="CU49" s="35">
        <v>45.732886000000008</v>
      </c>
      <c r="CV49" s="35">
        <v>38.278519199999998</v>
      </c>
      <c r="CW49" s="35">
        <v>0</v>
      </c>
      <c r="CX49" s="35">
        <v>0</v>
      </c>
      <c r="CY49" s="35">
        <v>48.0768202</v>
      </c>
      <c r="CZ49" s="35">
        <v>0</v>
      </c>
      <c r="DA49" s="35">
        <v>568.95866160000003</v>
      </c>
      <c r="DB49" s="35">
        <v>103.03799520000001</v>
      </c>
      <c r="DC49" s="35">
        <v>430.64780880000001</v>
      </c>
      <c r="DD49" s="35">
        <v>292.00720920000003</v>
      </c>
      <c r="DE49" s="35">
        <v>1491.8095332</v>
      </c>
      <c r="DF49" s="35">
        <v>972.35293320000005</v>
      </c>
      <c r="DG49" s="35">
        <v>349.92636879999998</v>
      </c>
      <c r="DH49" s="35">
        <v>170.410596</v>
      </c>
      <c r="DI49" s="35">
        <v>621.52188200000012</v>
      </c>
      <c r="DJ49" s="35">
        <v>330.82424960000003</v>
      </c>
      <c r="DK49" s="35">
        <v>462.35741439999993</v>
      </c>
      <c r="DL49" s="35">
        <v>174.21202720000002</v>
      </c>
      <c r="DM49" s="35">
        <v>139.00561919999998</v>
      </c>
      <c r="DN49" s="35">
        <v>59.513050200000002</v>
      </c>
      <c r="DO49" s="35">
        <v>90.675425200000006</v>
      </c>
      <c r="DP49" s="35">
        <v>37.361016000000006</v>
      </c>
      <c r="DQ49" s="35">
        <v>47.179476000000001</v>
      </c>
      <c r="DR49" s="35">
        <v>488.13488100000006</v>
      </c>
      <c r="DS49" s="35">
        <v>54.1140726</v>
      </c>
      <c r="DT49" s="35">
        <v>202.82397899999998</v>
      </c>
      <c r="DU49" s="35">
        <v>889.77952200000004</v>
      </c>
      <c r="DV49" s="35">
        <v>115.6942176</v>
      </c>
      <c r="DW49" s="36">
        <v>16</v>
      </c>
      <c r="DX49" s="36">
        <v>19</v>
      </c>
      <c r="DY49" s="36">
        <v>58</v>
      </c>
      <c r="DZ49" s="36">
        <v>45</v>
      </c>
      <c r="EA49" s="36">
        <v>24</v>
      </c>
      <c r="EB49" s="29">
        <v>266</v>
      </c>
      <c r="EC49" s="29">
        <v>738</v>
      </c>
      <c r="ED49" s="29">
        <v>86.6</v>
      </c>
      <c r="EE49" s="29">
        <v>56.2</v>
      </c>
      <c r="EF49" s="30">
        <v>1985</v>
      </c>
      <c r="EG49" s="26">
        <v>0</v>
      </c>
      <c r="EH49" s="26">
        <v>0</v>
      </c>
      <c r="EI49" s="26">
        <v>0</v>
      </c>
      <c r="EJ49" s="26">
        <v>0</v>
      </c>
      <c r="EK49" s="108">
        <v>8.16</v>
      </c>
      <c r="EL49" s="108">
        <v>3.66</v>
      </c>
      <c r="EM49" s="108">
        <v>3.9</v>
      </c>
      <c r="EN49" s="108">
        <v>3.34</v>
      </c>
      <c r="EO49" s="108">
        <v>5.82</v>
      </c>
      <c r="EP49" s="108"/>
      <c r="EQ49" s="108"/>
      <c r="ER49" s="73">
        <v>2438.8200000000002</v>
      </c>
      <c r="ES49" s="30">
        <v>16225.453333333333</v>
      </c>
      <c r="ET49" s="30">
        <v>6.623333333333334</v>
      </c>
      <c r="EU49" s="30">
        <v>1654.4800000000002</v>
      </c>
      <c r="EV49" s="26">
        <v>144.53666666666666</v>
      </c>
      <c r="FB49" s="26">
        <v>0</v>
      </c>
      <c r="FC49" s="26">
        <v>0.17865873015873016</v>
      </c>
      <c r="FD49" s="26">
        <v>3.7103174603174596E-2</v>
      </c>
      <c r="FE49" s="26">
        <v>0</v>
      </c>
      <c r="FF49" s="26">
        <v>0</v>
      </c>
      <c r="FG49" s="26">
        <v>200.85276190476191</v>
      </c>
      <c r="FH49" s="26">
        <v>0.28110317460317458</v>
      </c>
      <c r="FI49" s="26">
        <v>0</v>
      </c>
      <c r="FJ49" s="74">
        <v>0</v>
      </c>
      <c r="FK49" s="74">
        <v>189.7482427315754</v>
      </c>
      <c r="FL49" s="74">
        <v>0</v>
      </c>
      <c r="FM49" s="74">
        <v>0</v>
      </c>
      <c r="FN49" s="74">
        <v>0</v>
      </c>
      <c r="FO49" s="74">
        <v>388.67678055555564</v>
      </c>
      <c r="FP49" s="26">
        <v>0</v>
      </c>
      <c r="FQ49" s="26">
        <v>0</v>
      </c>
      <c r="FR49" s="74">
        <v>0</v>
      </c>
      <c r="FS49" s="26">
        <v>431.69481481481478</v>
      </c>
      <c r="FT49" s="26">
        <v>0</v>
      </c>
      <c r="FU49" s="26">
        <v>0</v>
      </c>
      <c r="FV49" s="26">
        <v>0</v>
      </c>
      <c r="FW49" s="26">
        <v>151.70456388888886</v>
      </c>
      <c r="FX49" s="26">
        <v>0</v>
      </c>
      <c r="FY49" s="26">
        <v>0</v>
      </c>
      <c r="FZ49" s="74">
        <v>0</v>
      </c>
      <c r="GA49" s="26">
        <v>149.40566666666669</v>
      </c>
      <c r="GB49" s="26">
        <v>0</v>
      </c>
      <c r="GC49" s="26">
        <v>0</v>
      </c>
      <c r="GD49"/>
    </row>
    <row r="50" spans="1:186" s="6" customFormat="1" x14ac:dyDescent="0.2">
      <c r="A50" s="60" t="s">
        <v>953</v>
      </c>
      <c r="B50" s="6" t="s">
        <v>954</v>
      </c>
      <c r="C50" s="6" t="s">
        <v>514</v>
      </c>
      <c r="D50" s="6" t="s">
        <v>876</v>
      </c>
      <c r="H50" s="6">
        <v>1</v>
      </c>
      <c r="I50" s="6">
        <v>1</v>
      </c>
      <c r="L50" s="6" t="s">
        <v>516</v>
      </c>
      <c r="M50" s="6" t="s">
        <v>955</v>
      </c>
      <c r="N50" s="6" t="s">
        <v>473</v>
      </c>
      <c r="O50" s="6" t="s">
        <v>671</v>
      </c>
      <c r="P50" s="6" t="s">
        <v>672</v>
      </c>
      <c r="T50">
        <v>10000</v>
      </c>
      <c r="U50">
        <v>10.088198267397166</v>
      </c>
      <c r="V50">
        <v>10000</v>
      </c>
      <c r="W50">
        <v>10000</v>
      </c>
      <c r="X50">
        <v>2.2272547925697932E-2</v>
      </c>
      <c r="Y50">
        <v>6.1955381552818031E-2</v>
      </c>
      <c r="Z50" s="64">
        <v>152</v>
      </c>
      <c r="AA50" s="64"/>
      <c r="AB50" s="61"/>
      <c r="AC50" s="61"/>
      <c r="AD50" s="62"/>
      <c r="AE50" s="63"/>
      <c r="AF50" s="63"/>
      <c r="AG50" s="6" t="s">
        <v>512</v>
      </c>
      <c r="AH50" s="6" t="s">
        <v>513</v>
      </c>
      <c r="AI50" s="2"/>
      <c r="AJ50" s="3" t="s">
        <v>514</v>
      </c>
      <c r="AK50" s="3" t="s">
        <v>473</v>
      </c>
      <c r="AL50" s="6">
        <v>2325</v>
      </c>
      <c r="AM50" s="6" t="s">
        <v>193</v>
      </c>
      <c r="EB50" s="19"/>
      <c r="EC50" s="19"/>
      <c r="ED50" s="19"/>
      <c r="EE50" s="19"/>
      <c r="EF50" s="19"/>
      <c r="EG50" s="19"/>
      <c r="EH50" s="19"/>
      <c r="EI50" s="19"/>
      <c r="EK50"/>
      <c r="EL50"/>
      <c r="EM50"/>
      <c r="EN50"/>
      <c r="EO50"/>
      <c r="EP50"/>
      <c r="EQ50"/>
      <c r="ER50" s="65">
        <v>76.036666666666676</v>
      </c>
      <c r="ES50" s="6">
        <v>75.160000000000011</v>
      </c>
      <c r="ET50" s="6">
        <v>0.51902813818949223</v>
      </c>
      <c r="EU50" s="6">
        <v>26.167851856529037</v>
      </c>
      <c r="EV50" s="6">
        <v>0</v>
      </c>
      <c r="FB50" s="6">
        <v>0</v>
      </c>
      <c r="FC50" s="6">
        <v>0</v>
      </c>
      <c r="FD50" s="6">
        <v>0</v>
      </c>
      <c r="FE50" s="6">
        <v>0</v>
      </c>
      <c r="FF50" s="6">
        <v>0</v>
      </c>
      <c r="FG50" s="6">
        <v>1.2900571428571428</v>
      </c>
      <c r="FH50" s="6">
        <v>0</v>
      </c>
      <c r="FI50" s="6">
        <v>0</v>
      </c>
      <c r="FJ50" s="66">
        <v>0</v>
      </c>
      <c r="FK50" s="66">
        <v>2.6307399999999999</v>
      </c>
      <c r="FL50" s="66">
        <v>0</v>
      </c>
      <c r="FM50" s="66">
        <v>0</v>
      </c>
      <c r="FN50" s="66">
        <v>0</v>
      </c>
      <c r="FO50" s="66">
        <v>3.5791666666666666</v>
      </c>
      <c r="FP50" s="6">
        <v>0</v>
      </c>
      <c r="FQ50" s="6">
        <v>0</v>
      </c>
      <c r="FR50" s="66">
        <v>0</v>
      </c>
      <c r="FS50" s="6">
        <v>3.3507999999999996</v>
      </c>
      <c r="FT50" s="6">
        <v>0</v>
      </c>
      <c r="FU50" s="6">
        <v>0</v>
      </c>
      <c r="FV50" s="6">
        <v>0</v>
      </c>
      <c r="FW50" s="6">
        <v>1.8422916666666669</v>
      </c>
      <c r="FX50" s="6">
        <v>0</v>
      </c>
      <c r="FY50" s="6">
        <v>0</v>
      </c>
      <c r="FZ50" s="66">
        <v>0</v>
      </c>
      <c r="GA50" s="6">
        <v>2.0717714285714282</v>
      </c>
      <c r="GB50" s="6">
        <v>0</v>
      </c>
      <c r="GC50" s="6">
        <v>0</v>
      </c>
      <c r="GD50"/>
    </row>
    <row r="51" spans="1:186" s="26" customFormat="1" x14ac:dyDescent="0.2">
      <c r="A51" s="68" t="s">
        <v>713</v>
      </c>
      <c r="B51" s="26" t="s">
        <v>124</v>
      </c>
      <c r="C51" s="26" t="s">
        <v>31</v>
      </c>
      <c r="D51" s="26" t="s">
        <v>714</v>
      </c>
      <c r="F51" s="26">
        <v>481</v>
      </c>
      <c r="G51" s="26">
        <v>1</v>
      </c>
      <c r="H51" s="26">
        <v>1</v>
      </c>
      <c r="I51" s="26">
        <v>1</v>
      </c>
      <c r="J51" s="26">
        <v>1</v>
      </c>
      <c r="L51" s="26" t="s">
        <v>715</v>
      </c>
      <c r="M51" s="26" t="s">
        <v>716</v>
      </c>
      <c r="N51" s="26" t="s">
        <v>427</v>
      </c>
      <c r="O51" s="26" t="s">
        <v>667</v>
      </c>
      <c r="P51" s="26" t="s">
        <v>668</v>
      </c>
      <c r="T51" s="39">
        <v>22.419120114650049</v>
      </c>
      <c r="U51" s="39">
        <v>11.050284385680516</v>
      </c>
      <c r="V51" s="39">
        <v>204.29992003349017</v>
      </c>
      <c r="W51" s="39">
        <v>10000</v>
      </c>
      <c r="X51" s="39">
        <v>0.14925032218414225</v>
      </c>
      <c r="Y51" s="39">
        <v>0.21619875234332944</v>
      </c>
      <c r="Z51" s="69">
        <v>10</v>
      </c>
      <c r="AA51" s="69">
        <v>0.08</v>
      </c>
      <c r="AB51" s="56">
        <v>0.04</v>
      </c>
      <c r="AC51" s="57">
        <v>4.5400000000000003E-2</v>
      </c>
      <c r="AD51" s="58">
        <v>1.61</v>
      </c>
      <c r="AE51" s="58">
        <v>25.3</v>
      </c>
      <c r="AF51" s="58">
        <v>15</v>
      </c>
      <c r="AG51" s="26" t="s">
        <v>30</v>
      </c>
      <c r="AH51" s="26" t="s">
        <v>502</v>
      </c>
      <c r="AI51" s="31">
        <v>481</v>
      </c>
      <c r="AJ51" s="28" t="s">
        <v>31</v>
      </c>
      <c r="AK51" s="28" t="s">
        <v>427</v>
      </c>
      <c r="AL51" s="26">
        <v>1854</v>
      </c>
      <c r="AM51" s="26" t="s">
        <v>246</v>
      </c>
      <c r="AO51" s="32">
        <v>1930.97</v>
      </c>
      <c r="AP51" s="32">
        <v>823.14</v>
      </c>
      <c r="AQ51" s="32">
        <v>6995.99</v>
      </c>
      <c r="AR51" s="32">
        <v>9725.31</v>
      </c>
      <c r="AS51" s="32">
        <v>17431.96</v>
      </c>
      <c r="AT51" s="32">
        <v>5433.61</v>
      </c>
      <c r="AU51" s="32">
        <v>1466.33</v>
      </c>
      <c r="AV51" s="32">
        <v>12754.66</v>
      </c>
      <c r="AW51" s="32">
        <v>9840.65</v>
      </c>
      <c r="AX51" s="32">
        <v>11783.98</v>
      </c>
      <c r="AY51" s="32">
        <v>11783.98</v>
      </c>
      <c r="AZ51" s="32">
        <v>696.38</v>
      </c>
      <c r="BA51" s="33">
        <v>1608.6254519999998</v>
      </c>
      <c r="BB51" s="33">
        <v>778.0408602</v>
      </c>
      <c r="BC51" s="33">
        <v>3397.4292976000002</v>
      </c>
      <c r="BD51" s="33">
        <v>4079.428782</v>
      </c>
      <c r="BE51" s="33">
        <v>6679.9398016000005</v>
      </c>
      <c r="BF51" s="33">
        <v>2203.4340312000004</v>
      </c>
      <c r="BG51" s="33">
        <v>947.44043520000002</v>
      </c>
      <c r="BH51" s="33">
        <v>5229.0727079999997</v>
      </c>
      <c r="BI51" s="33">
        <v>4680.8466900000003</v>
      </c>
      <c r="BJ51" s="33">
        <v>5359.5971749999999</v>
      </c>
      <c r="BK51" s="33">
        <v>5253.8932160000004</v>
      </c>
      <c r="BL51" s="33">
        <v>4594.6649027999993</v>
      </c>
      <c r="BM51" s="33">
        <v>507.34200239999996</v>
      </c>
      <c r="BN51" s="34">
        <v>962.09933400000011</v>
      </c>
      <c r="BO51" s="34">
        <v>569.76661279999996</v>
      </c>
      <c r="BP51" s="34">
        <v>4581.4297787999994</v>
      </c>
      <c r="BQ51" s="34">
        <v>7972.8910675999996</v>
      </c>
      <c r="BR51" s="34">
        <v>13366.1941296</v>
      </c>
      <c r="BS51" s="34">
        <v>2617.0137844000001</v>
      </c>
      <c r="BT51" s="34">
        <v>9743.6182191999978</v>
      </c>
      <c r="BU51" s="34">
        <v>7591.419754999999</v>
      </c>
      <c r="BV51" s="34">
        <v>819.58291659999998</v>
      </c>
      <c r="BW51" s="34">
        <v>1629.4341360000003</v>
      </c>
      <c r="BX51" s="34">
        <v>2580.0921744000002</v>
      </c>
      <c r="BY51" s="34">
        <v>8496.7275960000006</v>
      </c>
      <c r="BZ51" s="34">
        <v>13770.4979776</v>
      </c>
      <c r="CA51" s="34">
        <v>3445.8401249999997</v>
      </c>
      <c r="CB51" s="34">
        <v>11600.0922016</v>
      </c>
      <c r="CC51" s="34">
        <v>8921.3283871999993</v>
      </c>
      <c r="CD51" s="34">
        <v>1192.3126159999999</v>
      </c>
      <c r="CE51" s="34">
        <v>2726.9576879999995</v>
      </c>
      <c r="CF51" s="34">
        <v>920.60950679999996</v>
      </c>
      <c r="CG51" s="34">
        <v>7166.3348843999993</v>
      </c>
      <c r="CH51" s="34">
        <v>9514.6519115999999</v>
      </c>
      <c r="CI51" s="34">
        <v>29426.948474000001</v>
      </c>
      <c r="CJ51" s="34">
        <v>2367.4976011999997</v>
      </c>
      <c r="CK51" s="34">
        <v>6744.6323735999995</v>
      </c>
      <c r="CL51" s="34">
        <v>983.97158339999999</v>
      </c>
      <c r="CM51" s="34">
        <v>620.14812160000008</v>
      </c>
      <c r="CN51" s="34">
        <v>1903.0347344000002</v>
      </c>
      <c r="CO51" s="34">
        <v>2498.4684812</v>
      </c>
      <c r="CP51" s="34">
        <v>545.96451599999989</v>
      </c>
      <c r="CQ51" s="34">
        <v>4137.0365007999999</v>
      </c>
      <c r="CR51" s="34">
        <v>1727.5665419999998</v>
      </c>
      <c r="CS51" s="34">
        <v>399.49102340000002</v>
      </c>
      <c r="CT51" s="35">
        <v>116.3754378</v>
      </c>
      <c r="CU51" s="35">
        <v>1061.7491038000001</v>
      </c>
      <c r="CV51" s="35">
        <v>1170.1374155999999</v>
      </c>
      <c r="CW51" s="35">
        <v>184.27520559999999</v>
      </c>
      <c r="CX51" s="35">
        <v>202.8084432</v>
      </c>
      <c r="CY51" s="35">
        <v>586.15273059999993</v>
      </c>
      <c r="CZ51" s="35">
        <v>825.98114559999999</v>
      </c>
      <c r="DA51" s="35">
        <v>1347.7184500000001</v>
      </c>
      <c r="DB51" s="35">
        <v>658.57305719999999</v>
      </c>
      <c r="DC51" s="35">
        <v>2575.1054560000002</v>
      </c>
      <c r="DD51" s="35">
        <v>3328.5962880000002</v>
      </c>
      <c r="DE51" s="35">
        <v>0</v>
      </c>
      <c r="DF51" s="35">
        <v>5177.229014999999</v>
      </c>
      <c r="DG51" s="35">
        <v>3674.6025232000002</v>
      </c>
      <c r="DH51" s="35">
        <v>1482.8057743999998</v>
      </c>
      <c r="DI51" s="35">
        <v>3468.6617569999999</v>
      </c>
      <c r="DJ51" s="35">
        <v>3302.6659379999996</v>
      </c>
      <c r="DK51" s="35">
        <v>1407.369735</v>
      </c>
      <c r="DL51" s="35">
        <v>2010.9924551999998</v>
      </c>
      <c r="DM51" s="35">
        <v>1124.1678906</v>
      </c>
      <c r="DN51" s="35">
        <v>999.02521119999994</v>
      </c>
      <c r="DO51" s="35">
        <v>2410.4607167999998</v>
      </c>
      <c r="DP51" s="35">
        <v>514.20204639999997</v>
      </c>
      <c r="DQ51" s="35">
        <v>338.31307179999999</v>
      </c>
      <c r="DR51" s="35">
        <v>3944.1657907999997</v>
      </c>
      <c r="DS51" s="35">
        <v>677.32192699999996</v>
      </c>
      <c r="DT51" s="35">
        <v>1792.9839772</v>
      </c>
      <c r="DU51" s="35">
        <v>4127.1718345999998</v>
      </c>
      <c r="DV51" s="35">
        <v>925.74934619999999</v>
      </c>
      <c r="DW51" s="36">
        <v>470</v>
      </c>
      <c r="DX51" s="36">
        <v>610</v>
      </c>
      <c r="DY51" s="36">
        <v>2400</v>
      </c>
      <c r="DZ51" s="36">
        <v>1700</v>
      </c>
      <c r="EA51" s="36">
        <v>780</v>
      </c>
      <c r="EB51" s="29">
        <v>6830</v>
      </c>
      <c r="EC51" s="29">
        <v>16700</v>
      </c>
      <c r="ED51" s="29">
        <v>2120</v>
      </c>
      <c r="EE51" s="29">
        <v>1550</v>
      </c>
      <c r="EF51" s="30">
        <v>2001</v>
      </c>
      <c r="EG51" s="30">
        <v>486</v>
      </c>
      <c r="EH51" s="30">
        <v>486</v>
      </c>
      <c r="EI51" s="26">
        <v>0</v>
      </c>
      <c r="EJ51" s="26">
        <v>0</v>
      </c>
      <c r="EK51" s="108">
        <v>5870</v>
      </c>
      <c r="EL51" s="108">
        <v>498</v>
      </c>
      <c r="EM51" s="108">
        <v>982</v>
      </c>
      <c r="EN51" s="108">
        <v>936</v>
      </c>
      <c r="EO51" s="108">
        <v>1060</v>
      </c>
      <c r="EP51" s="108"/>
      <c r="EQ51" s="108"/>
      <c r="ER51" s="73">
        <v>22494.626666666667</v>
      </c>
      <c r="ES51" s="26">
        <v>107430.11333333334</v>
      </c>
      <c r="ET51" s="26">
        <v>556.16</v>
      </c>
      <c r="EU51" s="26">
        <v>18968.856666666663</v>
      </c>
      <c r="EV51" s="26">
        <v>5530.9666666666672</v>
      </c>
      <c r="FB51" s="26">
        <v>0</v>
      </c>
      <c r="FC51" s="26">
        <v>0.26100311042328039</v>
      </c>
      <c r="FD51" s="26">
        <v>0.38440804665614836</v>
      </c>
      <c r="FE51" s="26">
        <v>2.9751866428571427E-2</v>
      </c>
      <c r="FF51" s="26">
        <v>0</v>
      </c>
      <c r="FG51" s="26">
        <v>2510.4922964755556</v>
      </c>
      <c r="FH51" s="26">
        <v>0.37484906730158735</v>
      </c>
      <c r="FI51" s="26">
        <v>5.2246428571428569E-2</v>
      </c>
      <c r="FJ51" s="74">
        <v>0</v>
      </c>
      <c r="FK51" s="74">
        <v>469.44358292566523</v>
      </c>
      <c r="FL51" s="74">
        <v>0</v>
      </c>
      <c r="FM51" s="74">
        <v>0</v>
      </c>
      <c r="FN51" s="74">
        <v>0</v>
      </c>
      <c r="FO51" s="74">
        <v>1405.4382944444446</v>
      </c>
      <c r="FP51" s="26">
        <v>0</v>
      </c>
      <c r="FQ51" s="26">
        <v>0</v>
      </c>
      <c r="FR51" s="74">
        <v>0</v>
      </c>
      <c r="FS51" s="26">
        <v>6569.485822222221</v>
      </c>
      <c r="FT51" s="26">
        <v>0</v>
      </c>
      <c r="FU51" s="26">
        <v>0</v>
      </c>
      <c r="FV51" s="26">
        <v>0</v>
      </c>
      <c r="FW51" s="26">
        <v>471.96890277777771</v>
      </c>
      <c r="FX51" s="26">
        <v>0</v>
      </c>
      <c r="FY51" s="26">
        <v>0</v>
      </c>
      <c r="FZ51" s="74">
        <v>0</v>
      </c>
      <c r="GA51" s="26">
        <v>317.57083333333333</v>
      </c>
      <c r="GB51" s="26">
        <v>0</v>
      </c>
      <c r="GC51" s="26">
        <v>0</v>
      </c>
      <c r="GD51"/>
    </row>
    <row r="52" spans="1:186" s="26" customFormat="1" x14ac:dyDescent="0.2">
      <c r="A52" s="68" t="s">
        <v>703</v>
      </c>
      <c r="B52" s="26" t="s">
        <v>135</v>
      </c>
      <c r="C52" s="26" t="s">
        <v>23</v>
      </c>
      <c r="D52" s="26" t="s">
        <v>255</v>
      </c>
      <c r="F52" s="26">
        <v>279</v>
      </c>
      <c r="G52" s="26">
        <v>1</v>
      </c>
      <c r="H52" s="26">
        <v>1</v>
      </c>
      <c r="I52" s="26">
        <v>1</v>
      </c>
      <c r="J52" s="26">
        <v>1</v>
      </c>
      <c r="L52" s="26" t="s">
        <v>704</v>
      </c>
      <c r="M52" s="26" t="s">
        <v>705</v>
      </c>
      <c r="N52" s="26" t="s">
        <v>427</v>
      </c>
      <c r="O52" s="26" t="s">
        <v>692</v>
      </c>
      <c r="P52" s="26" t="s">
        <v>693</v>
      </c>
      <c r="S52" s="26">
        <v>1</v>
      </c>
      <c r="T52" s="39">
        <v>39.680835326251596</v>
      </c>
      <c r="U52" s="39">
        <v>1.6706173618091481E-3</v>
      </c>
      <c r="V52" s="39">
        <v>10000</v>
      </c>
      <c r="W52" s="39">
        <v>0.18095361249048381</v>
      </c>
      <c r="X52" s="39">
        <v>8.3370824580447186E-2</v>
      </c>
      <c r="Y52" s="39">
        <v>0.78945843005722538</v>
      </c>
      <c r="Z52" s="69">
        <v>225</v>
      </c>
      <c r="AA52" s="69"/>
      <c r="AB52" s="70"/>
      <c r="AC52" s="70"/>
      <c r="AD52" s="71"/>
      <c r="AE52" s="72"/>
      <c r="AF52" s="72"/>
      <c r="AG52" s="26" t="s">
        <v>464</v>
      </c>
      <c r="AH52" s="26" t="s">
        <v>465</v>
      </c>
      <c r="AI52" s="27">
        <v>279</v>
      </c>
      <c r="AJ52" s="28" t="s">
        <v>23</v>
      </c>
      <c r="AK52" s="28" t="s">
        <v>427</v>
      </c>
      <c r="AL52" s="26">
        <v>1182</v>
      </c>
      <c r="AM52" s="26" t="s">
        <v>246</v>
      </c>
      <c r="AO52" s="32">
        <v>18.82</v>
      </c>
      <c r="AP52" s="32">
        <v>0</v>
      </c>
      <c r="AQ52" s="32">
        <v>58.95</v>
      </c>
      <c r="AR52" s="32">
        <v>124.1</v>
      </c>
      <c r="AS52" s="32">
        <v>260.22000000000003</v>
      </c>
      <c r="AT52" s="32">
        <v>52.02</v>
      </c>
      <c r="AU52" s="32">
        <v>16.350000000000001</v>
      </c>
      <c r="AV52" s="32">
        <v>263.37</v>
      </c>
      <c r="AW52" s="32">
        <v>133.85</v>
      </c>
      <c r="AX52" s="32">
        <v>140.85</v>
      </c>
      <c r="AY52" s="32">
        <v>140.85</v>
      </c>
      <c r="AZ52" s="32">
        <v>4.6500000000000004</v>
      </c>
      <c r="BA52" s="33">
        <v>12.1323016</v>
      </c>
      <c r="BB52" s="33">
        <v>0</v>
      </c>
      <c r="BC52" s="33">
        <v>17.658057600000003</v>
      </c>
      <c r="BD52" s="33">
        <v>36.968001199999996</v>
      </c>
      <c r="BE52" s="33">
        <v>58.687521000000004</v>
      </c>
      <c r="BF52" s="33">
        <v>0</v>
      </c>
      <c r="BG52" s="33">
        <v>0</v>
      </c>
      <c r="BH52" s="33">
        <v>59.452325999999999</v>
      </c>
      <c r="BI52" s="33">
        <v>46.718042800000006</v>
      </c>
      <c r="BJ52" s="33">
        <v>62.339532000000005</v>
      </c>
      <c r="BK52" s="33">
        <v>48.3319872</v>
      </c>
      <c r="BL52" s="33">
        <v>34.509359000000003</v>
      </c>
      <c r="BM52" s="33">
        <v>0</v>
      </c>
      <c r="BN52" s="34">
        <v>37.604642399999996</v>
      </c>
      <c r="BO52" s="34">
        <v>22.728638</v>
      </c>
      <c r="BP52" s="34">
        <v>86.931907200000012</v>
      </c>
      <c r="BQ52" s="34">
        <v>149.09386800000001</v>
      </c>
      <c r="BR52" s="34">
        <v>243.76808820000005</v>
      </c>
      <c r="BS52" s="34">
        <v>51.396771400000006</v>
      </c>
      <c r="BT52" s="34">
        <v>154.53458240000001</v>
      </c>
      <c r="BU52" s="34">
        <v>147.36041040000001</v>
      </c>
      <c r="BV52" s="34">
        <v>29.25048</v>
      </c>
      <c r="BW52" s="34">
        <v>43.004464800000008</v>
      </c>
      <c r="BX52" s="34">
        <v>62.368185400000002</v>
      </c>
      <c r="BY52" s="34">
        <v>108.83115360000001</v>
      </c>
      <c r="BZ52" s="34">
        <v>231.64402240000004</v>
      </c>
      <c r="CA52" s="34">
        <v>65.424856200000008</v>
      </c>
      <c r="CB52" s="34">
        <v>218.15295839999999</v>
      </c>
      <c r="CC52" s="34">
        <v>154.38851400000001</v>
      </c>
      <c r="CD52" s="34">
        <v>29.886688400000001</v>
      </c>
      <c r="CE52" s="34">
        <v>62.186227999999993</v>
      </c>
      <c r="CF52" s="34">
        <v>21.8315664</v>
      </c>
      <c r="CG52" s="34">
        <v>104.18870880000001</v>
      </c>
      <c r="CH52" s="34">
        <v>103.08382139999999</v>
      </c>
      <c r="CI52" s="34">
        <v>478.27920240000009</v>
      </c>
      <c r="CJ52" s="34">
        <v>33.389836799999991</v>
      </c>
      <c r="CK52" s="34">
        <v>69.146651200000008</v>
      </c>
      <c r="CL52" s="34">
        <v>26.206483200000001</v>
      </c>
      <c r="CM52" s="34">
        <v>12.869726000000002</v>
      </c>
      <c r="CN52" s="34">
        <v>32.694076800000005</v>
      </c>
      <c r="CO52" s="34">
        <v>39.672200399999994</v>
      </c>
      <c r="CP52" s="34">
        <v>9.3363816000000011</v>
      </c>
      <c r="CQ52" s="34">
        <v>63.148180799999999</v>
      </c>
      <c r="CR52" s="34">
        <v>22.967193599999998</v>
      </c>
      <c r="CS52" s="34">
        <v>0</v>
      </c>
      <c r="CT52" s="35">
        <v>0</v>
      </c>
      <c r="CU52" s="35">
        <v>0</v>
      </c>
      <c r="CV52" s="35">
        <v>25.1997426</v>
      </c>
      <c r="CW52" s="35">
        <v>0</v>
      </c>
      <c r="CX52" s="35">
        <v>0</v>
      </c>
      <c r="CY52" s="35">
        <v>0</v>
      </c>
      <c r="CZ52" s="35">
        <v>0</v>
      </c>
      <c r="DA52" s="35">
        <v>541.67031599999996</v>
      </c>
      <c r="DB52" s="35">
        <v>33.277720000000002</v>
      </c>
      <c r="DC52" s="35">
        <v>106.3453512</v>
      </c>
      <c r="DD52" s="35">
        <v>105.82419900000001</v>
      </c>
      <c r="DE52" s="35">
        <v>1257.0431255999999</v>
      </c>
      <c r="DF52" s="35">
        <v>263.92943940000004</v>
      </c>
      <c r="DG52" s="35">
        <v>99.742193599999993</v>
      </c>
      <c r="DH52" s="35">
        <v>49.563427999999995</v>
      </c>
      <c r="DI52" s="35">
        <v>180.64271280000003</v>
      </c>
      <c r="DJ52" s="35">
        <v>127.32238479999999</v>
      </c>
      <c r="DK52" s="35">
        <v>54.178336799999997</v>
      </c>
      <c r="DL52" s="35">
        <v>50.428940800000007</v>
      </c>
      <c r="DM52" s="35">
        <v>37.757327999999994</v>
      </c>
      <c r="DN52" s="35">
        <v>0</v>
      </c>
      <c r="DO52" s="35">
        <v>27.639680000000002</v>
      </c>
      <c r="DP52" s="35">
        <v>0</v>
      </c>
      <c r="DQ52" s="35">
        <v>0</v>
      </c>
      <c r="DR52" s="35">
        <v>153.349198</v>
      </c>
      <c r="DS52" s="35">
        <v>11.2029666</v>
      </c>
      <c r="DT52" s="35">
        <v>65.23606199999999</v>
      </c>
      <c r="DU52" s="35">
        <v>277.13611480000003</v>
      </c>
      <c r="DV52" s="35">
        <v>43.109376400000002</v>
      </c>
      <c r="DW52" s="36">
        <v>4.5</v>
      </c>
      <c r="DX52" s="36">
        <v>4.0999999999999996</v>
      </c>
      <c r="DY52" s="36">
        <v>22</v>
      </c>
      <c r="DZ52" s="36">
        <v>14</v>
      </c>
      <c r="EA52" s="36">
        <v>7.4</v>
      </c>
      <c r="EB52" s="29">
        <v>106</v>
      </c>
      <c r="EC52" s="29">
        <v>334</v>
      </c>
      <c r="ED52" s="29">
        <v>34.6</v>
      </c>
      <c r="EE52" s="29">
        <v>22.1</v>
      </c>
      <c r="EF52" s="30">
        <v>1986</v>
      </c>
      <c r="EG52" s="26">
        <v>0</v>
      </c>
      <c r="EH52" s="26">
        <v>0</v>
      </c>
      <c r="EI52" s="26">
        <v>0</v>
      </c>
      <c r="EJ52" s="26">
        <v>0</v>
      </c>
      <c r="EK52" s="108">
        <v>3.14</v>
      </c>
      <c r="EL52" s="108">
        <v>0.53</v>
      </c>
      <c r="EM52" s="108">
        <v>0.53</v>
      </c>
      <c r="EN52" s="108">
        <v>0.53</v>
      </c>
      <c r="EO52" s="108">
        <v>0.53</v>
      </c>
      <c r="EP52" s="108"/>
      <c r="EQ52" s="108"/>
      <c r="ER52" s="73">
        <v>831.32333333333338</v>
      </c>
      <c r="ES52" s="30">
        <v>7320.413333333333</v>
      </c>
      <c r="ET52" s="26">
        <v>11.386666666666665</v>
      </c>
      <c r="EU52" s="26">
        <v>547.40833333333342</v>
      </c>
      <c r="EV52" s="26">
        <v>22.92</v>
      </c>
      <c r="FB52" s="26">
        <v>0</v>
      </c>
      <c r="FC52" s="26">
        <v>4.3690476190476196E-3</v>
      </c>
      <c r="FD52" s="26">
        <v>1.5238095238095234E-3</v>
      </c>
      <c r="FE52" s="26">
        <v>0</v>
      </c>
      <c r="FF52" s="26">
        <v>0</v>
      </c>
      <c r="FG52" s="26">
        <v>72.186904761904756</v>
      </c>
      <c r="FH52" s="26">
        <v>4.3968253968253962E-2</v>
      </c>
      <c r="FI52" s="26">
        <v>0</v>
      </c>
      <c r="FJ52" s="74">
        <v>0</v>
      </c>
      <c r="FK52" s="74">
        <v>76.145304106510764</v>
      </c>
      <c r="FL52" s="74">
        <v>0</v>
      </c>
      <c r="FM52" s="74">
        <v>0</v>
      </c>
      <c r="FN52" s="74">
        <v>0</v>
      </c>
      <c r="FO52" s="74">
        <v>140.88246388888891</v>
      </c>
      <c r="FP52" s="26">
        <v>0</v>
      </c>
      <c r="FQ52" s="26">
        <v>0</v>
      </c>
      <c r="FR52" s="74">
        <v>0</v>
      </c>
      <c r="FS52" s="26">
        <v>174.23602962962963</v>
      </c>
      <c r="FT52" s="26">
        <v>0</v>
      </c>
      <c r="FU52" s="26">
        <v>0</v>
      </c>
      <c r="FV52" s="26">
        <v>0</v>
      </c>
      <c r="FW52" s="26">
        <v>65.319180555555533</v>
      </c>
      <c r="FX52" s="26">
        <v>0</v>
      </c>
      <c r="FY52" s="26">
        <v>0</v>
      </c>
      <c r="FZ52" s="74">
        <v>0</v>
      </c>
      <c r="GA52" s="26">
        <v>60.839999999999996</v>
      </c>
      <c r="GB52" s="26">
        <v>1.5766666666666665E-2</v>
      </c>
      <c r="GC52" s="26">
        <v>0</v>
      </c>
      <c r="GD52"/>
    </row>
    <row r="53" spans="1:186" s="26" customFormat="1" x14ac:dyDescent="0.2">
      <c r="A53" s="68" t="s">
        <v>745</v>
      </c>
      <c r="B53" s="26" t="s">
        <v>178</v>
      </c>
      <c r="C53" s="26" t="s">
        <v>108</v>
      </c>
      <c r="D53" s="26" t="s">
        <v>255</v>
      </c>
      <c r="F53" s="26">
        <v>300333</v>
      </c>
      <c r="G53" s="26">
        <v>1</v>
      </c>
      <c r="H53" s="26">
        <v>1</v>
      </c>
      <c r="I53" s="26">
        <v>1</v>
      </c>
      <c r="J53" s="26">
        <v>1</v>
      </c>
      <c r="L53" s="26" t="s">
        <v>119</v>
      </c>
      <c r="M53" s="26" t="s">
        <v>746</v>
      </c>
      <c r="N53" s="26" t="s">
        <v>473</v>
      </c>
      <c r="O53" s="26" t="s">
        <v>671</v>
      </c>
      <c r="P53" s="26" t="s">
        <v>672</v>
      </c>
      <c r="T53" s="39">
        <v>619.86281134570618</v>
      </c>
      <c r="U53" s="39">
        <v>418.77116180363953</v>
      </c>
      <c r="V53" s="39">
        <v>10000</v>
      </c>
      <c r="W53" s="39">
        <v>10000</v>
      </c>
      <c r="X53" s="39">
        <v>7.2916214620419889E-2</v>
      </c>
      <c r="Y53" s="39">
        <v>9.8958326187501958E-2</v>
      </c>
      <c r="Z53" s="69">
        <v>156</v>
      </c>
      <c r="AA53" s="69"/>
      <c r="AB53" s="70"/>
      <c r="AC53" s="70"/>
      <c r="AD53" s="71"/>
      <c r="AE53" s="72"/>
      <c r="AF53" s="72"/>
      <c r="AG53" s="26" t="s">
        <v>519</v>
      </c>
      <c r="AH53" s="26" t="s">
        <v>520</v>
      </c>
      <c r="AI53" s="27">
        <v>300333</v>
      </c>
      <c r="AJ53" s="28" t="s">
        <v>108</v>
      </c>
      <c r="AK53" s="28" t="s">
        <v>473</v>
      </c>
      <c r="AL53" s="26">
        <v>2328</v>
      </c>
      <c r="AM53" s="26" t="s">
        <v>246</v>
      </c>
      <c r="DW53" s="36">
        <v>0</v>
      </c>
      <c r="DX53" s="36">
        <v>0</v>
      </c>
      <c r="DY53" s="36">
        <v>0</v>
      </c>
      <c r="DZ53" s="36">
        <v>0</v>
      </c>
      <c r="EA53" s="36">
        <v>0</v>
      </c>
      <c r="EB53" s="29">
        <v>0</v>
      </c>
      <c r="EC53" s="29">
        <v>0</v>
      </c>
      <c r="ED53" s="29">
        <v>0</v>
      </c>
      <c r="EE53" s="29">
        <v>0</v>
      </c>
      <c r="EF53" s="29"/>
      <c r="EG53" s="29"/>
      <c r="EH53" s="29"/>
      <c r="EI53" s="29"/>
      <c r="EJ53" s="36"/>
      <c r="EK53" s="108">
        <v>1.67</v>
      </c>
      <c r="EL53" s="108">
        <v>1.67</v>
      </c>
      <c r="EM53" s="108">
        <v>1.67</v>
      </c>
      <c r="EN53" s="108">
        <v>1.67</v>
      </c>
      <c r="EO53" s="108">
        <v>1.67</v>
      </c>
      <c r="EP53" s="108"/>
      <c r="EQ53" s="108"/>
      <c r="ER53" s="73">
        <v>272.63000000000005</v>
      </c>
      <c r="ES53" s="26">
        <v>227.34555555555559</v>
      </c>
      <c r="ET53" s="26">
        <v>0</v>
      </c>
      <c r="EU53" s="26">
        <v>223.89106272415469</v>
      </c>
      <c r="EV53" s="26">
        <v>0</v>
      </c>
      <c r="FB53" s="30">
        <v>0</v>
      </c>
      <c r="FC53" s="30">
        <v>0</v>
      </c>
      <c r="FD53" s="26">
        <v>0</v>
      </c>
      <c r="FE53" s="26">
        <v>0</v>
      </c>
      <c r="FF53" s="26">
        <v>0</v>
      </c>
      <c r="FG53" s="26">
        <v>14.513142857142858</v>
      </c>
      <c r="FH53" s="26">
        <v>0</v>
      </c>
      <c r="FI53" s="26">
        <v>0</v>
      </c>
      <c r="FJ53" s="74">
        <v>0</v>
      </c>
      <c r="FK53" s="74">
        <v>17.307500000000001</v>
      </c>
      <c r="FL53" s="74">
        <v>0</v>
      </c>
      <c r="FM53" s="74">
        <v>0</v>
      </c>
      <c r="FN53" s="74">
        <v>0</v>
      </c>
      <c r="FO53" s="74">
        <v>11.453333333333333</v>
      </c>
      <c r="FP53" s="26">
        <v>0</v>
      </c>
      <c r="FQ53" s="26">
        <v>0</v>
      </c>
      <c r="FR53" s="74">
        <v>0</v>
      </c>
      <c r="FS53" s="26">
        <v>28.854111111111109</v>
      </c>
      <c r="FT53" s="26">
        <v>0</v>
      </c>
      <c r="FU53" s="26">
        <v>0</v>
      </c>
      <c r="FV53" s="26">
        <v>0</v>
      </c>
      <c r="FW53" s="26">
        <v>5.6742583333333325</v>
      </c>
      <c r="FX53" s="26">
        <v>0</v>
      </c>
      <c r="FY53" s="26">
        <v>0</v>
      </c>
      <c r="FZ53" s="74">
        <v>0</v>
      </c>
      <c r="GA53" s="26">
        <v>8.4165714285714284</v>
      </c>
      <c r="GB53" s="26">
        <v>0</v>
      </c>
      <c r="GC53" s="26">
        <v>0</v>
      </c>
      <c r="GD53"/>
    </row>
    <row r="54" spans="1:186" s="26" customFormat="1" x14ac:dyDescent="0.2">
      <c r="A54" s="68" t="s">
        <v>680</v>
      </c>
      <c r="B54" s="26" t="s">
        <v>130</v>
      </c>
      <c r="C54" s="26" t="s">
        <v>15</v>
      </c>
      <c r="D54" s="26" t="s">
        <v>255</v>
      </c>
      <c r="F54" s="26">
        <v>210</v>
      </c>
      <c r="G54" s="26">
        <v>1</v>
      </c>
      <c r="H54" s="26">
        <v>1</v>
      </c>
      <c r="I54" s="26">
        <v>1</v>
      </c>
      <c r="J54" s="26">
        <v>1</v>
      </c>
      <c r="L54" s="26" t="s">
        <v>681</v>
      </c>
      <c r="M54" s="26" t="s">
        <v>682</v>
      </c>
      <c r="N54" s="26" t="s">
        <v>427</v>
      </c>
      <c r="O54" s="26" t="s">
        <v>678</v>
      </c>
      <c r="P54" s="26" t="s">
        <v>679</v>
      </c>
      <c r="T54" s="39">
        <v>415.07084962973249</v>
      </c>
      <c r="U54" s="39">
        <v>454.26028398457998</v>
      </c>
      <c r="V54" s="39">
        <v>10000</v>
      </c>
      <c r="W54" s="39">
        <v>10000</v>
      </c>
      <c r="X54" s="39">
        <v>8.6700470611745337E-2</v>
      </c>
      <c r="Y54" s="39">
        <v>0.11515608098260925</v>
      </c>
      <c r="Z54" s="69">
        <v>596</v>
      </c>
      <c r="AA54" s="69"/>
      <c r="AB54" s="70"/>
      <c r="AC54" s="70"/>
      <c r="AD54" s="71"/>
      <c r="AE54" s="72"/>
      <c r="AF54" s="72"/>
      <c r="AG54" s="26" t="s">
        <v>14</v>
      </c>
      <c r="AH54" s="26" t="s">
        <v>430</v>
      </c>
      <c r="AI54" s="31">
        <v>210</v>
      </c>
      <c r="AJ54" s="28" t="s">
        <v>15</v>
      </c>
      <c r="AK54" s="28" t="s">
        <v>427</v>
      </c>
      <c r="AL54" s="26">
        <v>949</v>
      </c>
      <c r="AM54" s="26" t="s">
        <v>246</v>
      </c>
      <c r="AO54" s="32">
        <v>0</v>
      </c>
      <c r="AP54" s="32">
        <v>0</v>
      </c>
      <c r="AQ54" s="32">
        <v>31.92</v>
      </c>
      <c r="AR54" s="32">
        <v>38.97</v>
      </c>
      <c r="AS54" s="32">
        <v>77.099999999999994</v>
      </c>
      <c r="AT54" s="32">
        <v>25.09</v>
      </c>
      <c r="AU54" s="32">
        <v>0</v>
      </c>
      <c r="AV54" s="32">
        <v>55.16</v>
      </c>
      <c r="AW54" s="32">
        <v>37.56</v>
      </c>
      <c r="AX54" s="32">
        <v>43.85</v>
      </c>
      <c r="AY54" s="32">
        <v>43.85</v>
      </c>
      <c r="AZ54" s="32">
        <v>0</v>
      </c>
      <c r="BA54" s="33">
        <v>0</v>
      </c>
      <c r="BB54" s="33">
        <v>0</v>
      </c>
      <c r="BC54" s="33">
        <v>17.041408000000001</v>
      </c>
      <c r="BD54" s="33">
        <v>18.968018399999998</v>
      </c>
      <c r="BE54" s="33">
        <v>33.930736400000001</v>
      </c>
      <c r="BF54" s="33">
        <v>0</v>
      </c>
      <c r="BG54" s="33">
        <v>0</v>
      </c>
      <c r="BH54" s="33">
        <v>24.359612399999996</v>
      </c>
      <c r="BI54" s="33">
        <v>21.521153399999999</v>
      </c>
      <c r="BJ54" s="33">
        <v>23.612755200000002</v>
      </c>
      <c r="BK54" s="33">
        <v>23.053836800000003</v>
      </c>
      <c r="BL54" s="33">
        <v>20.549399999999999</v>
      </c>
      <c r="BM54" s="33">
        <v>0</v>
      </c>
      <c r="BN54" s="34">
        <v>7.7527254000000001</v>
      </c>
      <c r="BO54" s="34">
        <v>33.231953600000004</v>
      </c>
      <c r="BP54" s="34">
        <v>22.564208400000002</v>
      </c>
      <c r="BQ54" s="34">
        <v>53.306838399999997</v>
      </c>
      <c r="BR54" s="34">
        <v>65.43811860000001</v>
      </c>
      <c r="BS54" s="34">
        <v>17.247265000000002</v>
      </c>
      <c r="BT54" s="34">
        <v>37.114507400000001</v>
      </c>
      <c r="BU54" s="34">
        <v>32.486453999999995</v>
      </c>
      <c r="BV54" s="34">
        <v>0</v>
      </c>
      <c r="BW54" s="34">
        <v>17.859955599999999</v>
      </c>
      <c r="BX54" s="34">
        <v>9.6605018000000005</v>
      </c>
      <c r="BY54" s="34">
        <v>47.787207599999995</v>
      </c>
      <c r="BZ54" s="34">
        <v>62.262733999999995</v>
      </c>
      <c r="CA54" s="34">
        <v>22.170749999999998</v>
      </c>
      <c r="CB54" s="34">
        <v>44.759782000000008</v>
      </c>
      <c r="CC54" s="34">
        <v>57.309320400000004</v>
      </c>
      <c r="CD54" s="34">
        <v>0</v>
      </c>
      <c r="CE54" s="34">
        <v>24.009599999999999</v>
      </c>
      <c r="CF54" s="34">
        <v>8.2584569999999999</v>
      </c>
      <c r="CG54" s="34">
        <v>47.936768400000005</v>
      </c>
      <c r="CH54" s="34">
        <v>37.219063200000008</v>
      </c>
      <c r="CI54" s="34">
        <v>116.20235760000001</v>
      </c>
      <c r="CJ54" s="34">
        <v>20.478753600000001</v>
      </c>
      <c r="CK54" s="34">
        <v>39.272539800000004</v>
      </c>
      <c r="CL54" s="34">
        <v>8.1594575999999996</v>
      </c>
      <c r="CM54" s="34">
        <v>13.065941999999998</v>
      </c>
      <c r="CN54" s="34">
        <v>13.628457599999999</v>
      </c>
      <c r="CO54" s="34">
        <v>13.7912684</v>
      </c>
      <c r="CP54" s="34">
        <v>13.012676200000001</v>
      </c>
      <c r="CQ54" s="34">
        <v>21.7525914</v>
      </c>
      <c r="CR54" s="34">
        <v>18.969276800000003</v>
      </c>
      <c r="CS54" s="34">
        <v>6.0240635999999999</v>
      </c>
      <c r="CT54" s="35">
        <v>0</v>
      </c>
      <c r="CU54" s="35">
        <v>0</v>
      </c>
      <c r="CV54" s="35">
        <v>0</v>
      </c>
      <c r="CW54" s="35">
        <v>0</v>
      </c>
      <c r="CX54" s="35">
        <v>0</v>
      </c>
      <c r="CY54" s="35">
        <v>0</v>
      </c>
      <c r="CZ54" s="35">
        <v>19.917356599999998</v>
      </c>
      <c r="DA54" s="35">
        <v>0</v>
      </c>
      <c r="DB54" s="35">
        <v>0</v>
      </c>
      <c r="DC54" s="35">
        <v>14.171575600000001</v>
      </c>
      <c r="DD54" s="35">
        <v>11.937148199999998</v>
      </c>
      <c r="DE54" s="35">
        <v>6.7134077999999997</v>
      </c>
      <c r="DF54" s="35">
        <v>47.297250000000005</v>
      </c>
      <c r="DG54" s="35">
        <v>23.161319800000005</v>
      </c>
      <c r="DH54" s="35">
        <v>11.570990800000002</v>
      </c>
      <c r="DI54" s="35">
        <v>23.347409800000001</v>
      </c>
      <c r="DJ54" s="35">
        <v>15.132050400000001</v>
      </c>
      <c r="DK54" s="35">
        <v>9.9076959999999996</v>
      </c>
      <c r="DL54" s="35">
        <v>22.340019600000002</v>
      </c>
      <c r="DM54" s="35">
        <v>0</v>
      </c>
      <c r="DN54" s="35">
        <v>0</v>
      </c>
      <c r="DO54" s="35">
        <v>9.0203118</v>
      </c>
      <c r="DP54" s="35">
        <v>6.5653071999999995</v>
      </c>
      <c r="DQ54" s="35">
        <v>0</v>
      </c>
      <c r="DR54" s="35">
        <v>39.499614999999999</v>
      </c>
      <c r="DS54" s="35">
        <v>0</v>
      </c>
      <c r="DT54" s="35">
        <v>0</v>
      </c>
      <c r="DU54" s="35">
        <v>43.204310599999999</v>
      </c>
      <c r="DV54" s="35">
        <v>0</v>
      </c>
      <c r="DW54" s="36">
        <v>12</v>
      </c>
      <c r="DX54" s="36">
        <v>16</v>
      </c>
      <c r="DY54" s="36">
        <v>19</v>
      </c>
      <c r="DZ54" s="36">
        <v>18</v>
      </c>
      <c r="EA54" s="36">
        <v>8.1999999999999993</v>
      </c>
      <c r="EB54" s="29">
        <v>52.2</v>
      </c>
      <c r="EC54" s="29">
        <v>99.6</v>
      </c>
      <c r="ED54" s="29">
        <v>16.8</v>
      </c>
      <c r="EE54" s="29">
        <v>15</v>
      </c>
      <c r="EF54" s="30">
        <v>1988</v>
      </c>
      <c r="EG54" s="26">
        <v>0</v>
      </c>
      <c r="EH54" s="26">
        <v>0</v>
      </c>
      <c r="EI54" s="26">
        <v>0</v>
      </c>
      <c r="EJ54" s="26">
        <v>0</v>
      </c>
      <c r="EK54" s="108">
        <v>2.33</v>
      </c>
      <c r="EL54" s="108">
        <v>2.33</v>
      </c>
      <c r="EM54" s="108">
        <v>2.33</v>
      </c>
      <c r="EN54" s="108">
        <v>2.33</v>
      </c>
      <c r="EO54" s="108">
        <v>2.33</v>
      </c>
      <c r="EP54" s="108"/>
      <c r="EQ54" s="113">
        <v>18000000</v>
      </c>
      <c r="ER54" s="73">
        <v>129.58666666666667</v>
      </c>
      <c r="ES54" s="30">
        <v>810.40666666666675</v>
      </c>
      <c r="ET54" s="26">
        <v>5.5</v>
      </c>
      <c r="EU54" s="26">
        <v>245.65</v>
      </c>
      <c r="EV54" s="26">
        <v>124.01666666666667</v>
      </c>
      <c r="FB54" s="30">
        <v>0</v>
      </c>
      <c r="FC54" s="30">
        <v>0</v>
      </c>
      <c r="FD54" s="30">
        <v>0</v>
      </c>
      <c r="FE54" s="30">
        <v>0</v>
      </c>
      <c r="FF54" s="26">
        <v>0</v>
      </c>
      <c r="FG54" s="26">
        <v>0.13364285714285712</v>
      </c>
      <c r="FH54" s="26">
        <v>0.25119047619047613</v>
      </c>
      <c r="FI54" s="26">
        <v>0</v>
      </c>
      <c r="FJ54" s="74">
        <v>0</v>
      </c>
      <c r="FK54" s="74">
        <v>0.25089438810006764</v>
      </c>
      <c r="FL54" s="74">
        <v>0</v>
      </c>
      <c r="FM54" s="74">
        <v>0</v>
      </c>
      <c r="FN54" s="74">
        <v>0</v>
      </c>
      <c r="FO54" s="74">
        <v>0.35935277777777785</v>
      </c>
      <c r="FP54" s="26">
        <v>0</v>
      </c>
      <c r="FQ54" s="26">
        <v>0</v>
      </c>
      <c r="FR54" s="74">
        <v>0</v>
      </c>
      <c r="FS54" s="26">
        <v>0.53616296296296295</v>
      </c>
      <c r="FT54" s="26">
        <v>0</v>
      </c>
      <c r="FU54" s="26">
        <v>0</v>
      </c>
      <c r="FV54" s="26">
        <v>0</v>
      </c>
      <c r="FW54" s="26">
        <v>0.1421611111111111</v>
      </c>
      <c r="FX54" s="26">
        <v>0</v>
      </c>
      <c r="FY54" s="26">
        <v>0</v>
      </c>
      <c r="FZ54" s="74">
        <v>0</v>
      </c>
      <c r="GA54" s="26">
        <v>0.10273333333333334</v>
      </c>
      <c r="GB54" s="26">
        <v>2.3233333333333338E-2</v>
      </c>
      <c r="GC54" s="26">
        <v>0</v>
      </c>
      <c r="GD54"/>
    </row>
    <row r="55" spans="1:186" s="26" customFormat="1" x14ac:dyDescent="0.2">
      <c r="A55" s="68" t="s">
        <v>837</v>
      </c>
      <c r="B55" s="26" t="s">
        <v>575</v>
      </c>
      <c r="C55" s="26" t="s">
        <v>332</v>
      </c>
      <c r="D55" s="26" t="s">
        <v>782</v>
      </c>
      <c r="F55" s="26">
        <v>301726</v>
      </c>
      <c r="H55" s="26">
        <v>1</v>
      </c>
      <c r="I55" s="26">
        <v>1</v>
      </c>
      <c r="J55" s="26">
        <v>1</v>
      </c>
      <c r="L55" s="26" t="s">
        <v>328</v>
      </c>
      <c r="M55" s="26" t="s">
        <v>838</v>
      </c>
      <c r="N55" s="26" t="s">
        <v>201</v>
      </c>
      <c r="O55" s="26" t="s">
        <v>671</v>
      </c>
      <c r="P55" s="26" t="s">
        <v>672</v>
      </c>
      <c r="T55" s="39">
        <v>64.644070594674091</v>
      </c>
      <c r="U55" s="39">
        <v>51.193262853881023</v>
      </c>
      <c r="V55" s="39">
        <v>140.28123898270175</v>
      </c>
      <c r="W55" s="39">
        <v>56.49531819459154</v>
      </c>
      <c r="X55" s="39">
        <v>3.0458419058054131E-2</v>
      </c>
      <c r="Y55" s="39">
        <v>3.997898433946754E-2</v>
      </c>
      <c r="Z55" s="69">
        <v>233</v>
      </c>
      <c r="AA55" s="69"/>
      <c r="AB55" s="70"/>
      <c r="AC55" s="70"/>
      <c r="AD55" s="71"/>
      <c r="AE55" s="72"/>
      <c r="AF55" s="72"/>
      <c r="AG55" s="26" t="s">
        <v>330</v>
      </c>
      <c r="AH55" s="26" t="s">
        <v>331</v>
      </c>
      <c r="AI55" s="27"/>
      <c r="AJ55" s="28" t="s">
        <v>332</v>
      </c>
      <c r="AK55" s="28" t="s">
        <v>201</v>
      </c>
      <c r="AL55" s="26">
        <v>512</v>
      </c>
      <c r="AM55" s="26" t="s">
        <v>193</v>
      </c>
      <c r="EB55" s="38"/>
      <c r="EC55" s="38"/>
      <c r="ED55" s="38"/>
      <c r="EE55" s="38"/>
      <c r="EF55" s="38"/>
      <c r="EG55" s="38"/>
      <c r="EH55" s="38"/>
      <c r="EI55" s="38"/>
      <c r="EK55" s="39"/>
      <c r="EL55" s="39"/>
      <c r="EM55" s="39"/>
      <c r="EN55" s="39"/>
      <c r="EO55" s="39"/>
      <c r="EP55" s="39"/>
      <c r="EQ55" s="39"/>
      <c r="ER55" s="73">
        <v>12.933333333333332</v>
      </c>
      <c r="ES55" s="26">
        <v>0</v>
      </c>
      <c r="ET55" s="26">
        <v>4.3466666666666667</v>
      </c>
      <c r="EU55" s="26">
        <v>13.950000000000001</v>
      </c>
      <c r="EV55" s="26">
        <v>3.8766666666666665</v>
      </c>
      <c r="FB55" s="26">
        <v>0</v>
      </c>
      <c r="FC55" s="26">
        <v>0</v>
      </c>
      <c r="FD55" s="26">
        <v>0</v>
      </c>
      <c r="FE55" s="26">
        <v>0</v>
      </c>
      <c r="FF55" s="26">
        <v>0</v>
      </c>
      <c r="FG55" s="26">
        <v>0</v>
      </c>
      <c r="FH55" s="26">
        <v>0</v>
      </c>
      <c r="FI55" s="26">
        <v>0</v>
      </c>
      <c r="FJ55" s="74">
        <v>0</v>
      </c>
      <c r="FK55" s="74">
        <v>0</v>
      </c>
      <c r="FL55" s="74">
        <v>0</v>
      </c>
      <c r="FM55" s="74">
        <v>0</v>
      </c>
      <c r="FN55" s="74">
        <v>0</v>
      </c>
      <c r="FO55" s="74">
        <v>0</v>
      </c>
      <c r="FP55" s="26">
        <v>0</v>
      </c>
      <c r="FQ55" s="26">
        <v>0</v>
      </c>
      <c r="FR55" s="74">
        <v>0</v>
      </c>
      <c r="FS55" s="26">
        <v>0</v>
      </c>
      <c r="FT55" s="26">
        <v>0</v>
      </c>
      <c r="FU55" s="26">
        <v>0</v>
      </c>
      <c r="FV55" s="26">
        <v>0</v>
      </c>
      <c r="FW55" s="26">
        <v>0</v>
      </c>
      <c r="FX55" s="26">
        <v>0</v>
      </c>
      <c r="FY55" s="26">
        <v>0</v>
      </c>
      <c r="FZ55" s="74">
        <v>0</v>
      </c>
      <c r="GA55" s="26">
        <v>0</v>
      </c>
      <c r="GB55" s="26">
        <v>0</v>
      </c>
      <c r="GC55" s="26">
        <v>0</v>
      </c>
      <c r="GD55"/>
    </row>
    <row r="56" spans="1:186" s="26" customFormat="1" x14ac:dyDescent="0.2">
      <c r="A56" s="68" t="s">
        <v>1021</v>
      </c>
      <c r="B56" s="26" t="s">
        <v>147</v>
      </c>
      <c r="C56" s="26" t="s">
        <v>103</v>
      </c>
      <c r="D56" s="26" t="s">
        <v>255</v>
      </c>
      <c r="F56" s="26">
        <v>300335</v>
      </c>
      <c r="G56" s="26">
        <v>1</v>
      </c>
      <c r="H56" s="26">
        <v>1</v>
      </c>
      <c r="J56" s="26">
        <v>1</v>
      </c>
      <c r="L56" s="26" t="s">
        <v>876</v>
      </c>
      <c r="M56" s="26" t="s">
        <v>876</v>
      </c>
      <c r="N56" s="26" t="s">
        <v>473</v>
      </c>
      <c r="O56" s="26" t="s">
        <v>876</v>
      </c>
      <c r="P56" s="26" t="s">
        <v>876</v>
      </c>
      <c r="T56" s="39"/>
      <c r="U56" s="39"/>
      <c r="V56" s="39"/>
      <c r="W56" s="39"/>
      <c r="X56" s="39"/>
      <c r="Y56" s="39"/>
      <c r="Z56" s="81">
        <v>28</v>
      </c>
      <c r="AA56" s="81"/>
      <c r="AB56" s="70"/>
      <c r="AC56" s="70"/>
      <c r="AD56" s="71"/>
      <c r="AE56" s="72"/>
      <c r="AF56" s="72"/>
      <c r="AG56" s="26" t="s">
        <v>147</v>
      </c>
      <c r="AI56" s="26">
        <v>300335</v>
      </c>
      <c r="AJ56" s="26" t="s">
        <v>103</v>
      </c>
      <c r="AK56" s="28" t="s">
        <v>473</v>
      </c>
      <c r="AL56" s="28"/>
      <c r="AM56" s="26" t="s">
        <v>246</v>
      </c>
      <c r="AN56" s="26" t="s">
        <v>560</v>
      </c>
      <c r="DW56" s="36">
        <v>0</v>
      </c>
      <c r="DX56" s="36">
        <v>0</v>
      </c>
      <c r="DY56" s="36">
        <v>0</v>
      </c>
      <c r="DZ56" s="36">
        <v>0</v>
      </c>
      <c r="EA56" s="36">
        <v>0</v>
      </c>
      <c r="EB56" s="29">
        <v>0</v>
      </c>
      <c r="EC56" s="29">
        <v>0</v>
      </c>
      <c r="ED56" s="29">
        <v>0</v>
      </c>
      <c r="EE56" s="29">
        <v>0</v>
      </c>
      <c r="EF56" s="29"/>
      <c r="EG56" s="29"/>
      <c r="EH56" s="29"/>
      <c r="EI56" s="29"/>
      <c r="EJ56" s="36"/>
      <c r="EK56" s="108">
        <v>0.74</v>
      </c>
      <c r="EL56" s="108">
        <v>0.74</v>
      </c>
      <c r="EM56" s="108">
        <v>0.74</v>
      </c>
      <c r="EN56" s="108">
        <v>0.74</v>
      </c>
      <c r="EO56" s="108">
        <v>0.74</v>
      </c>
      <c r="EP56" s="108"/>
      <c r="EQ56" s="108"/>
      <c r="ER56" s="73">
        <v>6573.06</v>
      </c>
      <c r="ES56" s="26">
        <v>5979.6155555555561</v>
      </c>
      <c r="ET56" s="26">
        <v>134.36986561985049</v>
      </c>
      <c r="EU56" s="26">
        <v>7259.2315638269893</v>
      </c>
      <c r="EV56" s="26">
        <v>0</v>
      </c>
      <c r="FB56" s="73"/>
      <c r="GD56"/>
    </row>
    <row r="57" spans="1:186" s="6" customFormat="1" x14ac:dyDescent="0.2">
      <c r="A57" s="60" t="s">
        <v>940</v>
      </c>
      <c r="B57" s="6" t="s">
        <v>941</v>
      </c>
      <c r="C57" s="6" t="s">
        <v>476</v>
      </c>
      <c r="D57" s="6" t="s">
        <v>876</v>
      </c>
      <c r="E57" s="6" t="s">
        <v>710</v>
      </c>
      <c r="H57" s="6">
        <v>1</v>
      </c>
      <c r="I57" s="6">
        <v>1</v>
      </c>
      <c r="L57" s="6" t="s">
        <v>942</v>
      </c>
      <c r="M57" s="6" t="s">
        <v>943</v>
      </c>
      <c r="N57" s="6" t="s">
        <v>427</v>
      </c>
      <c r="O57" s="6" t="s">
        <v>692</v>
      </c>
      <c r="P57" s="6" t="s">
        <v>693</v>
      </c>
      <c r="T57">
        <v>26.162398810858669</v>
      </c>
      <c r="U57">
        <v>24.238434507667275</v>
      </c>
      <c r="V57">
        <v>49.368759479023353</v>
      </c>
      <c r="W57">
        <v>45.31179051626065</v>
      </c>
      <c r="X57">
        <v>0.24809237093542891</v>
      </c>
      <c r="Y57">
        <v>0.28775447953746769</v>
      </c>
      <c r="Z57" s="64">
        <v>208</v>
      </c>
      <c r="AA57" s="64"/>
      <c r="AB57" s="61"/>
      <c r="AC57" s="61"/>
      <c r="AD57" s="62"/>
      <c r="AE57" s="63"/>
      <c r="AF57" s="63"/>
      <c r="AG57" s="6" t="s">
        <v>474</v>
      </c>
      <c r="AH57" s="6" t="s">
        <v>475</v>
      </c>
      <c r="AI57" s="2"/>
      <c r="AJ57" s="3" t="s">
        <v>476</v>
      </c>
      <c r="AK57" s="3" t="s">
        <v>427</v>
      </c>
      <c r="AL57" s="6">
        <v>1610</v>
      </c>
      <c r="AM57" s="6" t="s">
        <v>193</v>
      </c>
      <c r="DW57" s="15"/>
      <c r="DX57" s="15"/>
      <c r="DY57" s="15"/>
      <c r="DZ57" s="15"/>
      <c r="EA57" s="15"/>
      <c r="EB57" s="19"/>
      <c r="EC57" s="19"/>
      <c r="ED57" s="19"/>
      <c r="EE57" s="19"/>
      <c r="EF57" s="19"/>
      <c r="EG57" s="19"/>
      <c r="EH57" s="19"/>
      <c r="EI57" s="19"/>
      <c r="EJ57" s="15"/>
      <c r="EK57"/>
      <c r="EL57"/>
      <c r="EM57"/>
      <c r="EN57"/>
      <c r="EO57"/>
      <c r="EP57"/>
      <c r="EQ57"/>
      <c r="ER57" s="76">
        <v>736.5</v>
      </c>
      <c r="ES57" s="14">
        <v>26.75333333333333</v>
      </c>
      <c r="ET57" s="6">
        <v>98.07</v>
      </c>
      <c r="EU57" s="6">
        <v>97.493333333333339</v>
      </c>
      <c r="EV57">
        <v>93.932000000000002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2.4469523809523812</v>
      </c>
      <c r="FH57">
        <v>5.4761904761904756E-3</v>
      </c>
      <c r="FI57">
        <v>0</v>
      </c>
      <c r="FJ57" s="77">
        <v>0</v>
      </c>
      <c r="FK57" s="77">
        <v>4.9133117209561306</v>
      </c>
      <c r="FL57" s="77">
        <v>0</v>
      </c>
      <c r="FM57" s="77">
        <v>0</v>
      </c>
      <c r="FN57" s="77">
        <v>0</v>
      </c>
      <c r="FO57" s="77">
        <v>2.8585138888888886</v>
      </c>
      <c r="FP57">
        <v>0</v>
      </c>
      <c r="FQ57">
        <v>0</v>
      </c>
      <c r="FR57" s="77">
        <v>0</v>
      </c>
      <c r="FS57">
        <v>4.7992296296296297</v>
      </c>
      <c r="FT57">
        <v>0</v>
      </c>
      <c r="FU57">
        <v>0</v>
      </c>
      <c r="FV57">
        <v>0</v>
      </c>
      <c r="FW57">
        <v>1.3764999999999998</v>
      </c>
      <c r="FX57">
        <v>0</v>
      </c>
      <c r="FY57">
        <v>0</v>
      </c>
      <c r="FZ57" s="77">
        <v>0</v>
      </c>
      <c r="GA57">
        <v>1.7513333333333334</v>
      </c>
      <c r="GB57">
        <v>0</v>
      </c>
      <c r="GC57">
        <v>0</v>
      </c>
      <c r="GD57"/>
    </row>
    <row r="58" spans="1:186" s="26" customFormat="1" x14ac:dyDescent="0.2">
      <c r="A58" s="68" t="s">
        <v>739</v>
      </c>
      <c r="B58" s="26" t="s">
        <v>144</v>
      </c>
      <c r="C58" s="26" t="s">
        <v>99</v>
      </c>
      <c r="D58" s="26" t="s">
        <v>255</v>
      </c>
      <c r="E58" s="26" t="s">
        <v>123</v>
      </c>
      <c r="F58" s="26">
        <v>300318</v>
      </c>
      <c r="G58" s="26">
        <v>1</v>
      </c>
      <c r="H58" s="26">
        <v>1</v>
      </c>
      <c r="I58" s="26">
        <v>1</v>
      </c>
      <c r="J58" s="26">
        <v>1</v>
      </c>
      <c r="L58" s="26" t="s">
        <v>539</v>
      </c>
      <c r="M58" s="26" t="s">
        <v>740</v>
      </c>
      <c r="N58" s="26" t="s">
        <v>427</v>
      </c>
      <c r="O58" s="26" t="s">
        <v>671</v>
      </c>
      <c r="P58" s="26" t="s">
        <v>672</v>
      </c>
      <c r="T58" s="39">
        <v>10000</v>
      </c>
      <c r="U58" s="39">
        <v>10000</v>
      </c>
      <c r="V58" s="39">
        <v>10000</v>
      </c>
      <c r="W58" s="39">
        <v>10000</v>
      </c>
      <c r="X58" s="39">
        <v>4.1666659786758806E-2</v>
      </c>
      <c r="Y58" s="39">
        <v>7.2916661306658248E-2</v>
      </c>
      <c r="Z58" s="69">
        <v>31</v>
      </c>
      <c r="AA58" s="69"/>
      <c r="AB58" s="56">
        <v>3.4600000000000001E-5</v>
      </c>
      <c r="AC58" s="57">
        <v>1.4E-3</v>
      </c>
      <c r="AD58" s="58">
        <v>1.21</v>
      </c>
      <c r="AE58" s="58">
        <v>34.200000000000003</v>
      </c>
      <c r="AF58" s="58">
        <v>23.9</v>
      </c>
      <c r="AG58" s="26" t="s">
        <v>98</v>
      </c>
      <c r="AH58" s="26" t="s">
        <v>541</v>
      </c>
      <c r="AI58" s="27">
        <v>300318</v>
      </c>
      <c r="AJ58" s="28" t="s">
        <v>99</v>
      </c>
      <c r="AK58" s="28" t="s">
        <v>427</v>
      </c>
      <c r="AL58" s="26">
        <v>3140</v>
      </c>
      <c r="AM58" s="26" t="s">
        <v>246</v>
      </c>
      <c r="DW58" s="36">
        <v>40</v>
      </c>
      <c r="DX58" s="36">
        <v>49</v>
      </c>
      <c r="DY58" s="36">
        <v>110</v>
      </c>
      <c r="DZ58" s="36">
        <v>110</v>
      </c>
      <c r="EA58" s="36">
        <v>55</v>
      </c>
      <c r="EB58" s="29">
        <v>445</v>
      </c>
      <c r="EC58" s="29">
        <v>705</v>
      </c>
      <c r="ED58" s="29">
        <v>158</v>
      </c>
      <c r="EE58" s="29">
        <v>84.1</v>
      </c>
      <c r="EF58" s="29"/>
      <c r="EG58" s="29"/>
      <c r="EH58" s="29"/>
      <c r="EI58" s="29"/>
      <c r="EJ58" s="38"/>
      <c r="EK58" s="108">
        <v>23.1</v>
      </c>
      <c r="EL58" s="108">
        <v>5.07</v>
      </c>
      <c r="EM58" s="108">
        <v>5.95</v>
      </c>
      <c r="EN58" s="108">
        <v>5.28</v>
      </c>
      <c r="EO58" s="108">
        <v>6.91</v>
      </c>
      <c r="EP58" s="108"/>
      <c r="EQ58" s="108"/>
      <c r="ER58" s="82">
        <v>1723.6833333333334</v>
      </c>
      <c r="ES58" s="26">
        <v>12684.409999999998</v>
      </c>
      <c r="ET58" s="26">
        <v>25.47666666666667</v>
      </c>
      <c r="EU58" s="26">
        <v>2950</v>
      </c>
      <c r="EV58" s="39">
        <v>612.36</v>
      </c>
      <c r="FB58" s="39">
        <v>0</v>
      </c>
      <c r="FC58" s="39">
        <v>0.3313253968253968</v>
      </c>
      <c r="FD58" s="39">
        <v>0</v>
      </c>
      <c r="FE58" s="39">
        <v>0</v>
      </c>
      <c r="FF58" s="39">
        <v>0</v>
      </c>
      <c r="FG58" s="39">
        <v>102.69007142857144</v>
      </c>
      <c r="FH58" s="39">
        <v>0.36145238095238086</v>
      </c>
      <c r="FI58" s="39">
        <v>0</v>
      </c>
      <c r="FJ58" s="83">
        <v>0</v>
      </c>
      <c r="FK58" s="83">
        <v>110.27127757228654</v>
      </c>
      <c r="FL58" s="83">
        <v>0</v>
      </c>
      <c r="FM58" s="83">
        <v>0</v>
      </c>
      <c r="FN58" s="83">
        <v>0</v>
      </c>
      <c r="FO58" s="83">
        <v>221.49545000000003</v>
      </c>
      <c r="FP58" s="39">
        <v>0</v>
      </c>
      <c r="FQ58" s="39">
        <v>0</v>
      </c>
      <c r="FR58" s="83">
        <v>0</v>
      </c>
      <c r="FS58" s="39">
        <v>342.33108148148148</v>
      </c>
      <c r="FT58" s="39">
        <v>0</v>
      </c>
      <c r="FU58" s="39">
        <v>0</v>
      </c>
      <c r="FV58" s="39">
        <v>0</v>
      </c>
      <c r="FW58" s="39">
        <v>114.15926111111109</v>
      </c>
      <c r="FX58" s="39">
        <v>0</v>
      </c>
      <c r="FY58" s="39">
        <v>0</v>
      </c>
      <c r="FZ58" s="83">
        <v>0</v>
      </c>
      <c r="GA58" s="39">
        <v>90.076666666666668</v>
      </c>
      <c r="GB58" s="39">
        <v>2.6449999999999998E-2</v>
      </c>
      <c r="GC58" s="39">
        <v>0</v>
      </c>
      <c r="GD58"/>
    </row>
    <row r="59" spans="1:186" s="26" customFormat="1" x14ac:dyDescent="0.2">
      <c r="A59" s="68" t="s">
        <v>706</v>
      </c>
      <c r="B59" s="26" t="s">
        <v>123</v>
      </c>
      <c r="C59" s="26" t="s">
        <v>25</v>
      </c>
      <c r="D59" s="26" t="s">
        <v>255</v>
      </c>
      <c r="E59" s="26" t="s">
        <v>144</v>
      </c>
      <c r="F59" s="26">
        <v>390</v>
      </c>
      <c r="G59" s="26">
        <v>1</v>
      </c>
      <c r="H59" s="26">
        <v>1</v>
      </c>
      <c r="I59" s="26">
        <v>1</v>
      </c>
      <c r="J59" s="26">
        <v>1</v>
      </c>
      <c r="L59" s="26" t="s">
        <v>707</v>
      </c>
      <c r="M59" s="26" t="s">
        <v>708</v>
      </c>
      <c r="N59" s="26" t="s">
        <v>427</v>
      </c>
      <c r="O59" s="26" t="s">
        <v>692</v>
      </c>
      <c r="P59" s="26" t="s">
        <v>693</v>
      </c>
      <c r="S59" s="26">
        <v>1</v>
      </c>
      <c r="T59" s="39">
        <v>10000</v>
      </c>
      <c r="U59" s="39">
        <v>50.967689833962403</v>
      </c>
      <c r="V59" s="39">
        <v>10000</v>
      </c>
      <c r="W59" s="39">
        <v>55.877790122386934</v>
      </c>
      <c r="X59" s="39">
        <v>5.2083327671385862E-2</v>
      </c>
      <c r="Y59" s="39">
        <v>0.10214381253544116</v>
      </c>
      <c r="Z59" s="69">
        <v>14</v>
      </c>
      <c r="AA59" s="69">
        <v>0.1</v>
      </c>
      <c r="AB59" s="56">
        <v>3.2199999999999997E-5</v>
      </c>
      <c r="AC59" s="57">
        <v>1.4E-3</v>
      </c>
      <c r="AD59" s="59">
        <v>1.1E-5</v>
      </c>
      <c r="AE59" s="58">
        <v>2</v>
      </c>
      <c r="AF59" s="58">
        <v>2</v>
      </c>
      <c r="AG59" s="26" t="s">
        <v>24</v>
      </c>
      <c r="AH59" s="26" t="s">
        <v>471</v>
      </c>
      <c r="AI59" s="27">
        <v>390</v>
      </c>
      <c r="AJ59" s="28" t="s">
        <v>25</v>
      </c>
      <c r="AK59" s="28" t="s">
        <v>427</v>
      </c>
      <c r="AL59" s="26">
        <v>1371</v>
      </c>
      <c r="AM59" s="26" t="s">
        <v>246</v>
      </c>
      <c r="AO59" s="32">
        <v>326.75</v>
      </c>
      <c r="AP59" s="32">
        <v>127.42</v>
      </c>
      <c r="AQ59" s="32">
        <v>1307.5</v>
      </c>
      <c r="AR59" s="32">
        <v>2015.26</v>
      </c>
      <c r="AS59" s="32">
        <v>3824.81</v>
      </c>
      <c r="AT59" s="32">
        <v>849.9</v>
      </c>
      <c r="AU59" s="32">
        <v>364.52</v>
      </c>
      <c r="AV59" s="32">
        <v>2721.95</v>
      </c>
      <c r="AW59" s="32">
        <v>2020.9</v>
      </c>
      <c r="AX59" s="32">
        <v>2207.69</v>
      </c>
      <c r="AY59" s="32">
        <v>2207.69</v>
      </c>
      <c r="AZ59" s="32">
        <v>156.35</v>
      </c>
      <c r="BA59" s="33">
        <v>278.80246800000003</v>
      </c>
      <c r="BB59" s="33">
        <v>117.04925679999998</v>
      </c>
      <c r="BC59" s="33">
        <v>602.90315939999994</v>
      </c>
      <c r="BD59" s="33">
        <v>741.20319359999996</v>
      </c>
      <c r="BE59" s="33">
        <v>1164.4625739999999</v>
      </c>
      <c r="BF59" s="33">
        <v>340.8002204</v>
      </c>
      <c r="BG59" s="33">
        <v>185.6887662</v>
      </c>
      <c r="BH59" s="33">
        <v>943.02668559999995</v>
      </c>
      <c r="BI59" s="33">
        <v>770.27191019999998</v>
      </c>
      <c r="BJ59" s="33">
        <v>945.60786559999997</v>
      </c>
      <c r="BK59" s="33">
        <v>856.47478199999989</v>
      </c>
      <c r="BL59" s="33">
        <v>748.34361999999999</v>
      </c>
      <c r="BM59" s="33">
        <v>114.70834439999999</v>
      </c>
      <c r="BN59" s="34">
        <v>302.05123520000001</v>
      </c>
      <c r="BO59" s="34">
        <v>183.11926499999998</v>
      </c>
      <c r="BP59" s="34">
        <v>1119.0585713999999</v>
      </c>
      <c r="BQ59" s="34">
        <v>1648.9995120000001</v>
      </c>
      <c r="BR59" s="34">
        <v>2662.9195450000002</v>
      </c>
      <c r="BS59" s="34">
        <v>570.41188199999999</v>
      </c>
      <c r="BT59" s="34">
        <v>1827.393288</v>
      </c>
      <c r="BU59" s="34">
        <v>1578.0203235999998</v>
      </c>
      <c r="BV59" s="34">
        <v>350.29468320000001</v>
      </c>
      <c r="BW59" s="34">
        <v>507.53570559999997</v>
      </c>
      <c r="BX59" s="34">
        <v>721.25718900000004</v>
      </c>
      <c r="BY59" s="34">
        <v>2061.7231139999999</v>
      </c>
      <c r="BZ59" s="34">
        <v>3586.6577780000002</v>
      </c>
      <c r="CA59" s="34">
        <v>934.54351199999996</v>
      </c>
      <c r="CB59" s="34">
        <v>2799.6753728000003</v>
      </c>
      <c r="CC59" s="34">
        <v>1929.0149280000001</v>
      </c>
      <c r="CD59" s="34">
        <v>419.17500000000001</v>
      </c>
      <c r="CE59" s="34">
        <v>792.45382199999983</v>
      </c>
      <c r="CF59" s="34">
        <v>181.39806300000001</v>
      </c>
      <c r="CG59" s="34">
        <v>1842.806744</v>
      </c>
      <c r="CH59" s="34">
        <v>2206.9160016000001</v>
      </c>
      <c r="CI59" s="34">
        <v>6927.2023744000007</v>
      </c>
      <c r="CJ59" s="34">
        <v>560.2416300000001</v>
      </c>
      <c r="CK59" s="34">
        <v>1216.1297259999999</v>
      </c>
      <c r="CL59" s="34">
        <v>263.74966799999993</v>
      </c>
      <c r="CM59" s="34">
        <v>129.02853260000001</v>
      </c>
      <c r="CN59" s="34">
        <v>530.13983919999998</v>
      </c>
      <c r="CO59" s="34">
        <v>615.99699039999996</v>
      </c>
      <c r="CP59" s="34">
        <v>136.89678000000001</v>
      </c>
      <c r="CQ59" s="34">
        <v>862.551466</v>
      </c>
      <c r="CR59" s="34">
        <v>347.09680719999994</v>
      </c>
      <c r="CS59" s="34">
        <v>156.94294260000004</v>
      </c>
      <c r="CT59" s="35">
        <v>0</v>
      </c>
      <c r="CU59" s="35">
        <v>74.107206599999998</v>
      </c>
      <c r="CV59" s="35">
        <v>79.51566840000001</v>
      </c>
      <c r="CW59" s="35">
        <v>17.061878400000001</v>
      </c>
      <c r="CX59" s="35">
        <v>39.638170000000002</v>
      </c>
      <c r="CY59" s="35">
        <v>81.553342799999996</v>
      </c>
      <c r="CZ59" s="35">
        <v>70.346409000000008</v>
      </c>
      <c r="DA59" s="35">
        <v>13153.363926</v>
      </c>
      <c r="DB59" s="35">
        <v>467.45985279999996</v>
      </c>
      <c r="DC59" s="35">
        <v>635.34383999999989</v>
      </c>
      <c r="DD59" s="35">
        <v>560.36850300000003</v>
      </c>
      <c r="DE59" s="35">
        <v>137315.30244299999</v>
      </c>
      <c r="DF59" s="35">
        <v>1284.9873420000001</v>
      </c>
      <c r="DG59" s="35">
        <v>717.29992320000008</v>
      </c>
      <c r="DH59" s="35">
        <v>428.40673200000003</v>
      </c>
      <c r="DI59" s="35">
        <v>928.30312500000002</v>
      </c>
      <c r="DJ59" s="35">
        <v>614.55237839999995</v>
      </c>
      <c r="DK59" s="35">
        <v>4906.3090920000004</v>
      </c>
      <c r="DL59" s="35">
        <v>358.265152</v>
      </c>
      <c r="DM59" s="35">
        <v>2015.4917460000004</v>
      </c>
      <c r="DN59" s="35">
        <v>1259.6426919999999</v>
      </c>
      <c r="DO59" s="35">
        <v>146.72223020000001</v>
      </c>
      <c r="DP59" s="35">
        <v>67.962879000000001</v>
      </c>
      <c r="DQ59" s="35">
        <v>461.91756060000012</v>
      </c>
      <c r="DR59" s="35">
        <v>1055.4383711999999</v>
      </c>
      <c r="DS59" s="35">
        <v>477.84423120000002</v>
      </c>
      <c r="DT59" s="35">
        <v>320.87874540000001</v>
      </c>
      <c r="DU59" s="35">
        <v>1386.0623727999998</v>
      </c>
      <c r="DV59" s="35">
        <v>203.21813059999997</v>
      </c>
      <c r="DW59" s="36">
        <v>52</v>
      </c>
      <c r="DX59" s="36">
        <v>72</v>
      </c>
      <c r="DY59" s="36">
        <v>280</v>
      </c>
      <c r="DZ59" s="36">
        <v>200</v>
      </c>
      <c r="EA59" s="36">
        <v>95</v>
      </c>
      <c r="EB59" s="29">
        <v>880</v>
      </c>
      <c r="EC59" s="29">
        <v>2600</v>
      </c>
      <c r="ED59" s="29">
        <v>220</v>
      </c>
      <c r="EE59" s="29">
        <v>146</v>
      </c>
      <c r="EF59" s="30">
        <v>1982</v>
      </c>
      <c r="EG59" s="30">
        <v>99.8</v>
      </c>
      <c r="EH59" s="30">
        <v>99.8</v>
      </c>
      <c r="EI59" s="26">
        <v>0</v>
      </c>
      <c r="EJ59" s="26">
        <v>0</v>
      </c>
      <c r="EK59" s="108">
        <v>48.2</v>
      </c>
      <c r="EL59" s="108">
        <v>7</v>
      </c>
      <c r="EM59" s="108">
        <v>11.7</v>
      </c>
      <c r="EN59" s="108">
        <v>10.199999999999999</v>
      </c>
      <c r="EO59" s="108">
        <v>14.1</v>
      </c>
      <c r="EP59" s="108"/>
      <c r="EQ59" s="108"/>
      <c r="ER59" s="82">
        <v>1723.6833333333334</v>
      </c>
      <c r="ES59" s="26">
        <v>12684.409999999998</v>
      </c>
      <c r="ET59" s="26">
        <v>25.47666666666667</v>
      </c>
      <c r="EU59" s="26">
        <v>2950</v>
      </c>
      <c r="EV59" s="39">
        <v>612.36</v>
      </c>
      <c r="FB59" s="39">
        <v>0</v>
      </c>
      <c r="FC59" s="39">
        <v>0.3313253968253968</v>
      </c>
      <c r="FD59" s="39">
        <v>0</v>
      </c>
      <c r="FE59" s="39">
        <v>0</v>
      </c>
      <c r="FF59" s="39">
        <v>0</v>
      </c>
      <c r="FG59" s="39">
        <v>102.69007142857144</v>
      </c>
      <c r="FH59" s="39">
        <v>0.36145238095238086</v>
      </c>
      <c r="FI59" s="39">
        <v>0</v>
      </c>
      <c r="FJ59" s="83">
        <v>0</v>
      </c>
      <c r="FK59" s="83">
        <v>110.27127757228654</v>
      </c>
      <c r="FL59" s="83">
        <v>0</v>
      </c>
      <c r="FM59" s="83">
        <v>0</v>
      </c>
      <c r="FN59" s="83">
        <v>0</v>
      </c>
      <c r="FO59" s="83">
        <v>221.49545000000003</v>
      </c>
      <c r="FP59" s="39">
        <v>0</v>
      </c>
      <c r="FQ59" s="39">
        <v>0</v>
      </c>
      <c r="FR59" s="83">
        <v>0</v>
      </c>
      <c r="FS59" s="39">
        <v>342.33108148148148</v>
      </c>
      <c r="FT59" s="39">
        <v>0</v>
      </c>
      <c r="FU59" s="39">
        <v>0</v>
      </c>
      <c r="FV59" s="39">
        <v>0</v>
      </c>
      <c r="FW59" s="39">
        <v>114.15926111111109</v>
      </c>
      <c r="FX59" s="39">
        <v>0</v>
      </c>
      <c r="FY59" s="39">
        <v>0</v>
      </c>
      <c r="FZ59" s="83">
        <v>0</v>
      </c>
      <c r="GA59" s="39">
        <v>90.076666666666668</v>
      </c>
      <c r="GB59" s="39">
        <v>2.6449999999999998E-2</v>
      </c>
      <c r="GC59" s="39">
        <v>0</v>
      </c>
      <c r="GD59"/>
    </row>
    <row r="60" spans="1:186" s="6" customFormat="1" x14ac:dyDescent="0.2">
      <c r="A60" s="60" t="s">
        <v>1051</v>
      </c>
      <c r="B60" s="6" t="s">
        <v>591</v>
      </c>
      <c r="C60" s="6" t="s">
        <v>50</v>
      </c>
      <c r="D60" s="6" t="s">
        <v>876</v>
      </c>
      <c r="H60" s="6">
        <v>1</v>
      </c>
      <c r="L60" s="6" t="s">
        <v>876</v>
      </c>
      <c r="M60" s="6" t="s">
        <v>876</v>
      </c>
      <c r="N60" s="6" t="s">
        <v>192</v>
      </c>
      <c r="O60" s="6" t="s">
        <v>876</v>
      </c>
      <c r="P60" s="6" t="s">
        <v>876</v>
      </c>
      <c r="T60"/>
      <c r="U60"/>
      <c r="V60"/>
      <c r="W60"/>
      <c r="X60"/>
      <c r="Y60"/>
      <c r="Z60" s="84">
        <v>53</v>
      </c>
      <c r="AA60" s="84"/>
      <c r="AB60" s="61"/>
      <c r="AC60" s="61"/>
      <c r="AD60" s="62"/>
      <c r="AE60" s="63"/>
      <c r="AF60" s="63"/>
      <c r="AG60" s="7" t="s">
        <v>49</v>
      </c>
      <c r="AH60" s="7"/>
      <c r="AI60" s="7"/>
      <c r="AJ60" s="4" t="s">
        <v>50</v>
      </c>
      <c r="AK60" s="3" t="s">
        <v>192</v>
      </c>
      <c r="AM60" s="6" t="s">
        <v>193</v>
      </c>
      <c r="CT60" s="15">
        <v>0</v>
      </c>
      <c r="CU60" s="15">
        <v>0</v>
      </c>
      <c r="CV60" s="15">
        <v>0</v>
      </c>
      <c r="CW60" s="15">
        <v>0</v>
      </c>
      <c r="CX60" s="15">
        <v>0</v>
      </c>
      <c r="CY60" s="15">
        <v>0</v>
      </c>
      <c r="CZ60" s="15">
        <v>0</v>
      </c>
      <c r="DA60" s="15">
        <v>0</v>
      </c>
      <c r="DB60" s="15">
        <v>0</v>
      </c>
      <c r="DC60" s="15">
        <v>0</v>
      </c>
      <c r="DD60" s="15">
        <v>0</v>
      </c>
      <c r="DE60" s="15">
        <v>0</v>
      </c>
      <c r="DF60" s="15">
        <v>0</v>
      </c>
      <c r="DG60" s="15">
        <v>0</v>
      </c>
      <c r="DH60" s="15">
        <v>0</v>
      </c>
      <c r="DI60" s="15">
        <v>0</v>
      </c>
      <c r="DJ60" s="15">
        <v>0</v>
      </c>
      <c r="DK60" s="15">
        <v>0</v>
      </c>
      <c r="DL60" s="15">
        <v>0</v>
      </c>
      <c r="DM60" s="15">
        <v>0</v>
      </c>
      <c r="DN60" s="16">
        <v>0</v>
      </c>
      <c r="DO60" s="16">
        <v>0</v>
      </c>
      <c r="DP60" s="16">
        <v>0</v>
      </c>
      <c r="DQ60" s="16">
        <v>0</v>
      </c>
      <c r="DS60" s="16">
        <v>0</v>
      </c>
      <c r="DT60" s="16">
        <v>0</v>
      </c>
      <c r="DU60" s="16">
        <v>0</v>
      </c>
      <c r="DV60" s="16">
        <v>0</v>
      </c>
      <c r="EK60"/>
      <c r="EL60"/>
      <c r="EM60"/>
      <c r="EN60"/>
      <c r="EO60"/>
      <c r="EP60"/>
      <c r="EQ60"/>
      <c r="ER60" s="67">
        <v>701.39333333333332</v>
      </c>
      <c r="ES60" s="6">
        <v>190.56666666666669</v>
      </c>
      <c r="ET60" s="6">
        <v>794.88333333333333</v>
      </c>
      <c r="EU60" s="6">
        <v>34.503333333333337</v>
      </c>
      <c r="EV60" s="6">
        <v>385.38666666666671</v>
      </c>
      <c r="FB60" s="67"/>
      <c r="GD60"/>
    </row>
    <row r="61" spans="1:186" s="6" customFormat="1" x14ac:dyDescent="0.2">
      <c r="A61" s="60" t="s">
        <v>978</v>
      </c>
      <c r="B61" s="6" t="s">
        <v>267</v>
      </c>
      <c r="C61" s="6" t="s">
        <v>269</v>
      </c>
      <c r="D61" s="6" t="s">
        <v>876</v>
      </c>
      <c r="I61" s="6">
        <v>1</v>
      </c>
      <c r="L61" s="6" t="s">
        <v>268</v>
      </c>
      <c r="M61" s="6" t="s">
        <v>979</v>
      </c>
      <c r="N61" s="6" t="s">
        <v>270</v>
      </c>
      <c r="O61" s="6" t="s">
        <v>671</v>
      </c>
      <c r="P61" s="6" t="s">
        <v>672</v>
      </c>
      <c r="T61">
        <v>16.811148348697358</v>
      </c>
      <c r="U61">
        <v>2.8173593050741705</v>
      </c>
      <c r="V61">
        <v>10000</v>
      </c>
      <c r="W61">
        <v>10000</v>
      </c>
      <c r="X61">
        <v>0.14346806764620876</v>
      </c>
      <c r="Y61">
        <v>0.23490314219140157</v>
      </c>
      <c r="Z61"/>
      <c r="AA61"/>
      <c r="AB61" s="61"/>
      <c r="AC61" s="61"/>
      <c r="AD61" s="62"/>
      <c r="AE61" s="63"/>
      <c r="AF61" s="63"/>
      <c r="AG61" s="6" t="s">
        <v>267</v>
      </c>
      <c r="AH61" s="6" t="s">
        <v>268</v>
      </c>
      <c r="AI61" s="2"/>
      <c r="AJ61" s="3" t="s">
        <v>269</v>
      </c>
      <c r="AK61" s="3" t="s">
        <v>270</v>
      </c>
      <c r="AL61" s="6">
        <v>360</v>
      </c>
      <c r="EK61"/>
      <c r="EL61"/>
      <c r="EM61"/>
      <c r="EN61"/>
      <c r="EO61"/>
      <c r="EP61"/>
      <c r="EQ61"/>
      <c r="FB61" s="75"/>
      <c r="GD61"/>
    </row>
    <row r="62" spans="1:186" s="6" customFormat="1" x14ac:dyDescent="0.2">
      <c r="A62" s="60" t="s">
        <v>1024</v>
      </c>
      <c r="B62" s="6" t="s">
        <v>151</v>
      </c>
      <c r="C62" s="6" t="s">
        <v>2</v>
      </c>
      <c r="D62" s="6" t="s">
        <v>255</v>
      </c>
      <c r="F62" s="6">
        <v>300392</v>
      </c>
      <c r="G62" s="6">
        <v>1</v>
      </c>
      <c r="H62" s="6">
        <v>1</v>
      </c>
      <c r="J62" s="6">
        <v>1</v>
      </c>
      <c r="L62" s="6" t="s">
        <v>876</v>
      </c>
      <c r="M62" s="6" t="s">
        <v>876</v>
      </c>
      <c r="N62" s="6" t="s">
        <v>188</v>
      </c>
      <c r="O62" s="6" t="s">
        <v>876</v>
      </c>
      <c r="P62" s="6" t="s">
        <v>876</v>
      </c>
      <c r="T62"/>
      <c r="U62"/>
      <c r="V62"/>
      <c r="W62"/>
      <c r="X62"/>
      <c r="Y62"/>
      <c r="Z62"/>
      <c r="AA62"/>
      <c r="AB62" s="52">
        <v>5.1900000000000001E-5</v>
      </c>
      <c r="AC62" s="53">
        <v>1.6999999999999999E-3</v>
      </c>
      <c r="AD62" s="54">
        <v>1.2</v>
      </c>
      <c r="AE62" s="54">
        <v>37.700000000000003</v>
      </c>
      <c r="AF62" s="54">
        <v>27.5</v>
      </c>
      <c r="AG62" s="6" t="s">
        <v>151</v>
      </c>
      <c r="AI62" s="6">
        <v>300392</v>
      </c>
      <c r="AJ62" s="6" t="s">
        <v>2</v>
      </c>
      <c r="AK62" s="3" t="s">
        <v>188</v>
      </c>
      <c r="AL62" s="3"/>
      <c r="AM62" s="6" t="s">
        <v>246</v>
      </c>
      <c r="AO62" s="9">
        <v>54.5</v>
      </c>
      <c r="AP62" s="9">
        <v>20.57</v>
      </c>
      <c r="AQ62" s="9">
        <v>224.67</v>
      </c>
      <c r="AR62" s="9">
        <v>361.16</v>
      </c>
      <c r="AS62" s="9">
        <v>791.77</v>
      </c>
      <c r="AT62" s="9">
        <v>142.9</v>
      </c>
      <c r="AU62" s="9">
        <v>37.5</v>
      </c>
      <c r="AV62" s="9">
        <v>520.13</v>
      </c>
      <c r="AW62" s="9">
        <v>348.96</v>
      </c>
      <c r="AX62" s="9">
        <v>443.79</v>
      </c>
      <c r="AY62" s="9">
        <v>443.79</v>
      </c>
      <c r="AZ62" s="9">
        <v>36.85</v>
      </c>
      <c r="BA62" s="10">
        <v>46.618656000000001</v>
      </c>
      <c r="BB62" s="10">
        <v>15.895042799999997</v>
      </c>
      <c r="BC62" s="10">
        <v>111.526608</v>
      </c>
      <c r="BD62" s="10">
        <v>125.28216960000002</v>
      </c>
      <c r="BE62" s="10">
        <v>222.52497740000001</v>
      </c>
      <c r="BF62" s="10">
        <v>58.075863200000001</v>
      </c>
      <c r="BG62" s="10">
        <v>26.795034000000001</v>
      </c>
      <c r="BH62" s="10">
        <v>184.41206560000001</v>
      </c>
      <c r="BI62" s="10">
        <v>160.32222179999999</v>
      </c>
      <c r="BJ62" s="10">
        <v>193.42327679999997</v>
      </c>
      <c r="BK62" s="10">
        <v>175.3840032</v>
      </c>
      <c r="BL62" s="10">
        <v>136.08277999999999</v>
      </c>
      <c r="BM62" s="10">
        <v>26.328703200000003</v>
      </c>
      <c r="BN62" s="11">
        <v>40.008493200000004</v>
      </c>
      <c r="BO62" s="11">
        <v>23.944317599999998</v>
      </c>
      <c r="BP62" s="11">
        <v>187.13400720000001</v>
      </c>
      <c r="BQ62" s="11">
        <v>184.20621600000001</v>
      </c>
      <c r="BR62" s="11">
        <v>370.24172900000002</v>
      </c>
      <c r="BS62" s="11">
        <v>66.283475999999993</v>
      </c>
      <c r="BT62" s="11">
        <v>200.32630800000001</v>
      </c>
      <c r="BU62" s="11">
        <v>151.45531759999997</v>
      </c>
      <c r="BV62" s="11">
        <v>55.5073936</v>
      </c>
      <c r="BW62" s="11">
        <v>57.796428800000001</v>
      </c>
      <c r="BX62" s="11">
        <v>91.476342000000002</v>
      </c>
      <c r="BY62" s="11">
        <v>288.70889400000004</v>
      </c>
      <c r="BZ62" s="11">
        <v>485.56877280000003</v>
      </c>
      <c r="CA62" s="11">
        <v>115.04025300000001</v>
      </c>
      <c r="CB62" s="11">
        <v>400.24779520000004</v>
      </c>
      <c r="CC62" s="11">
        <v>240.46993259999999</v>
      </c>
      <c r="CD62" s="11">
        <v>75.196874999999991</v>
      </c>
      <c r="CE62" s="11">
        <v>115.59293999999998</v>
      </c>
      <c r="CF62" s="11">
        <v>23.879960400000002</v>
      </c>
      <c r="CG62" s="11">
        <v>283.514948</v>
      </c>
      <c r="CH62" s="11">
        <v>328.54059719999998</v>
      </c>
      <c r="CI62" s="11">
        <v>1152.2605888000001</v>
      </c>
      <c r="CJ62" s="11">
        <v>80.807001000000014</v>
      </c>
      <c r="CK62" s="11">
        <v>182.85017099999996</v>
      </c>
      <c r="CL62" s="11">
        <v>39.669461999999996</v>
      </c>
      <c r="CM62" s="11">
        <v>14.3311758</v>
      </c>
      <c r="CN62" s="11">
        <v>91.33411719999998</v>
      </c>
      <c r="CO62" s="11">
        <v>97.363609199999999</v>
      </c>
      <c r="CP62" s="11">
        <v>21.500859999999999</v>
      </c>
      <c r="CQ62" s="11">
        <v>144.949714</v>
      </c>
      <c r="CR62" s="11">
        <v>50.406007599999988</v>
      </c>
      <c r="CS62" s="11">
        <v>26.390627800000001</v>
      </c>
      <c r="CT62" s="18">
        <v>0</v>
      </c>
      <c r="CU62" s="18">
        <v>12.3144378</v>
      </c>
      <c r="CV62" s="18">
        <v>13.593813800000001</v>
      </c>
      <c r="CW62" s="18">
        <v>6.7899312000000016</v>
      </c>
      <c r="CX62" s="18">
        <v>6.8817320000000004</v>
      </c>
      <c r="CY62" s="18">
        <v>9.8430564</v>
      </c>
      <c r="CZ62" s="18">
        <v>0</v>
      </c>
      <c r="DA62" s="18">
        <v>566.89993059999995</v>
      </c>
      <c r="DB62" s="18">
        <v>24.055</v>
      </c>
      <c r="DC62" s="18">
        <v>44.778860799999997</v>
      </c>
      <c r="DD62" s="18">
        <v>62.152754999999999</v>
      </c>
      <c r="DE62" s="18">
        <v>20834.816076000003</v>
      </c>
      <c r="DF62" s="18">
        <v>67.162575000000004</v>
      </c>
      <c r="DG62" s="18">
        <v>60.204876800000008</v>
      </c>
      <c r="DH62" s="18">
        <v>26.665034400000003</v>
      </c>
      <c r="DI62" s="18">
        <v>54.853124999999999</v>
      </c>
      <c r="DJ62" s="18">
        <v>60.018981599999996</v>
      </c>
      <c r="DK62" s="18">
        <v>294.71870280000002</v>
      </c>
      <c r="DL62" s="18">
        <v>43.224164000000002</v>
      </c>
      <c r="DM62" s="18">
        <v>0</v>
      </c>
      <c r="DN62" s="18">
        <v>0</v>
      </c>
      <c r="DO62" s="18">
        <v>17.789598399999999</v>
      </c>
      <c r="DP62" s="18">
        <v>8.0215589999999999</v>
      </c>
      <c r="DQ62" s="18">
        <v>0</v>
      </c>
      <c r="DR62" s="18">
        <v>76.877201999999997</v>
      </c>
      <c r="DS62" s="18">
        <v>61.337873800000004</v>
      </c>
      <c r="DT62" s="18">
        <v>64.334481600000004</v>
      </c>
      <c r="DU62" s="18">
        <v>75.446645400000008</v>
      </c>
      <c r="DV62" s="18">
        <v>29.929797799999996</v>
      </c>
      <c r="DW62" s="19">
        <v>22</v>
      </c>
      <c r="DX62" s="19">
        <v>32</v>
      </c>
      <c r="DY62" s="19">
        <v>90</v>
      </c>
      <c r="DZ62" s="19">
        <v>73</v>
      </c>
      <c r="EA62" s="19">
        <v>38</v>
      </c>
      <c r="EB62" s="17">
        <v>279</v>
      </c>
      <c r="EC62" s="17">
        <v>676</v>
      </c>
      <c r="ED62" s="17">
        <v>101</v>
      </c>
      <c r="EE62" s="17">
        <v>57.7</v>
      </c>
      <c r="EF62" s="17"/>
      <c r="EG62" s="17"/>
      <c r="EH62" s="17"/>
      <c r="EI62" s="17"/>
      <c r="EJ62" s="19"/>
      <c r="EK62" s="106">
        <v>31.2</v>
      </c>
      <c r="EL62" s="106">
        <v>4.13</v>
      </c>
      <c r="EM62" s="106">
        <v>7.59</v>
      </c>
      <c r="EN62" s="106">
        <v>6.65</v>
      </c>
      <c r="EO62" s="106">
        <v>7.81</v>
      </c>
      <c r="EP62" s="106"/>
      <c r="EQ62" s="106"/>
      <c r="FB62" s="6">
        <v>0</v>
      </c>
      <c r="FC62" s="6">
        <v>0.17205555555555552</v>
      </c>
      <c r="FD62" s="6">
        <v>2.1428571428571224E-4</v>
      </c>
      <c r="FE62" s="6">
        <v>0</v>
      </c>
      <c r="FF62" s="6">
        <v>0</v>
      </c>
      <c r="FG62" s="6">
        <v>172.96433333333331</v>
      </c>
      <c r="FH62" s="6">
        <v>0.14166666666666666</v>
      </c>
      <c r="FI62" s="6">
        <v>0</v>
      </c>
      <c r="FJ62" s="66">
        <v>0</v>
      </c>
      <c r="FK62" s="66">
        <v>101.11729449548584</v>
      </c>
      <c r="FL62" s="66">
        <v>0</v>
      </c>
      <c r="FM62" s="66">
        <v>0</v>
      </c>
      <c r="FN62" s="66">
        <v>0</v>
      </c>
      <c r="FO62" s="66">
        <v>159.67645555555555</v>
      </c>
      <c r="FP62" s="6">
        <v>0</v>
      </c>
      <c r="FQ62" s="6">
        <v>0</v>
      </c>
      <c r="FR62" s="66">
        <v>0</v>
      </c>
      <c r="FS62" s="6">
        <v>288.46859629629631</v>
      </c>
      <c r="FT62" s="6">
        <v>0</v>
      </c>
      <c r="FU62" s="6">
        <v>0</v>
      </c>
      <c r="FV62" s="6">
        <v>0</v>
      </c>
      <c r="FW62" s="6">
        <v>24.702549999999995</v>
      </c>
      <c r="FX62" s="6">
        <v>0</v>
      </c>
      <c r="FY62" s="6">
        <v>0</v>
      </c>
      <c r="FZ62" s="66">
        <v>0</v>
      </c>
      <c r="GA62" s="6">
        <v>11.621500000000001</v>
      </c>
      <c r="GB62" s="6">
        <v>0</v>
      </c>
      <c r="GC62" s="6">
        <v>0</v>
      </c>
      <c r="GD62"/>
    </row>
    <row r="63" spans="1:186" s="6" customFormat="1" x14ac:dyDescent="0.2">
      <c r="A63" s="60" t="s">
        <v>1040</v>
      </c>
      <c r="B63" s="6" t="s">
        <v>158</v>
      </c>
      <c r="C63" s="6" t="s">
        <v>94</v>
      </c>
      <c r="D63" s="6" t="s">
        <v>255</v>
      </c>
      <c r="F63" s="6">
        <v>302299</v>
      </c>
      <c r="G63" s="6">
        <v>1</v>
      </c>
      <c r="J63" s="6">
        <v>1</v>
      </c>
      <c r="L63" s="6" t="s">
        <v>876</v>
      </c>
      <c r="M63" s="6" t="s">
        <v>1041</v>
      </c>
      <c r="N63" s="6" t="s">
        <v>876</v>
      </c>
      <c r="O63" s="6" t="s">
        <v>876</v>
      </c>
      <c r="P63" s="6" t="s">
        <v>876</v>
      </c>
      <c r="T63"/>
      <c r="U63"/>
      <c r="V63"/>
      <c r="W63"/>
      <c r="X63"/>
      <c r="Y63"/>
      <c r="Z63"/>
      <c r="AA63"/>
      <c r="AB63" s="52">
        <v>3.4600000000000001E-5</v>
      </c>
      <c r="AC63" s="53">
        <v>2.3600000000000001E-3</v>
      </c>
      <c r="AD63" s="54">
        <v>1.58</v>
      </c>
      <c r="AE63" s="54">
        <v>26.7</v>
      </c>
      <c r="AF63" s="54">
        <v>27.4</v>
      </c>
      <c r="AG63" s="6" t="s">
        <v>158</v>
      </c>
      <c r="AI63" s="6">
        <v>302299</v>
      </c>
      <c r="AJ63" s="6" t="s">
        <v>94</v>
      </c>
      <c r="AK63" s="3" t="s">
        <v>427</v>
      </c>
      <c r="AL63" s="3"/>
      <c r="AM63" s="6" t="s">
        <v>189</v>
      </c>
      <c r="DW63" s="19">
        <v>28</v>
      </c>
      <c r="DX63" s="19">
        <v>34</v>
      </c>
      <c r="DY63" s="19">
        <v>140</v>
      </c>
      <c r="DZ63" s="19">
        <v>100</v>
      </c>
      <c r="EA63" s="19">
        <v>47</v>
      </c>
      <c r="EB63" s="17">
        <v>539</v>
      </c>
      <c r="EC63" s="17">
        <v>1280</v>
      </c>
      <c r="ED63" s="17">
        <v>203</v>
      </c>
      <c r="EE63" s="17">
        <v>128</v>
      </c>
      <c r="EF63" s="17"/>
      <c r="EG63" s="17"/>
      <c r="EH63" s="17"/>
      <c r="EI63" s="17"/>
      <c r="EJ63" s="19"/>
      <c r="EK63" s="106">
        <v>86</v>
      </c>
      <c r="EL63" s="106">
        <v>4.93</v>
      </c>
      <c r="EM63" s="106">
        <v>17.5</v>
      </c>
      <c r="EN63" s="106">
        <v>14.8</v>
      </c>
      <c r="EO63" s="106">
        <v>17.8</v>
      </c>
      <c r="EP63" s="106"/>
      <c r="EQ63" s="106"/>
      <c r="FB63" s="78"/>
      <c r="GD63"/>
    </row>
    <row r="64" spans="1:186" s="6" customFormat="1" x14ac:dyDescent="0.2">
      <c r="A64" s="60" t="s">
        <v>779</v>
      </c>
      <c r="B64" s="6" t="s">
        <v>159</v>
      </c>
      <c r="C64" s="6" t="s">
        <v>95</v>
      </c>
      <c r="D64" s="6" t="s">
        <v>255</v>
      </c>
      <c r="F64" s="6">
        <v>302300</v>
      </c>
      <c r="G64" s="6">
        <v>1</v>
      </c>
      <c r="I64" s="6">
        <v>1</v>
      </c>
      <c r="J64" s="6">
        <v>1</v>
      </c>
      <c r="L64" s="6" t="s">
        <v>452</v>
      </c>
      <c r="M64" s="6" t="s">
        <v>780</v>
      </c>
      <c r="N64" s="6" t="s">
        <v>427</v>
      </c>
      <c r="O64" s="6" t="s">
        <v>671</v>
      </c>
      <c r="P64" s="6" t="s">
        <v>672</v>
      </c>
      <c r="T64">
        <v>10000</v>
      </c>
      <c r="U64">
        <v>20.549610746162667</v>
      </c>
      <c r="V64">
        <v>10000</v>
      </c>
      <c r="W64">
        <v>58.599337989616437</v>
      </c>
      <c r="X64">
        <v>3.1249994376331199E-2</v>
      </c>
      <c r="Y64">
        <v>0.21501190145985255</v>
      </c>
      <c r="Z64"/>
      <c r="AA64"/>
      <c r="AB64" s="52">
        <v>3.5800000000000003E-5</v>
      </c>
      <c r="AC64" s="53">
        <v>2.5000000000000001E-3</v>
      </c>
      <c r="AD64" s="54">
        <v>1.86</v>
      </c>
      <c r="AE64" s="54">
        <v>21.4</v>
      </c>
      <c r="AF64" s="54">
        <v>41.1</v>
      </c>
      <c r="AG64" s="6" t="s">
        <v>451</v>
      </c>
      <c r="AH64" s="6" t="s">
        <v>452</v>
      </c>
      <c r="AI64" s="2">
        <v>302300</v>
      </c>
      <c r="AJ64" s="3" t="s">
        <v>95</v>
      </c>
      <c r="AK64" s="3" t="s">
        <v>427</v>
      </c>
      <c r="AL64" s="6">
        <v>1176</v>
      </c>
      <c r="AM64" s="6" t="s">
        <v>189</v>
      </c>
      <c r="DW64" s="19">
        <v>18</v>
      </c>
      <c r="DX64" s="19">
        <v>24</v>
      </c>
      <c r="DY64" s="19">
        <v>100</v>
      </c>
      <c r="DZ64" s="19">
        <v>72</v>
      </c>
      <c r="EA64" s="19">
        <v>32</v>
      </c>
      <c r="EB64" s="17">
        <v>365</v>
      </c>
      <c r="EC64" s="17">
        <v>896</v>
      </c>
      <c r="ED64" s="17">
        <v>139</v>
      </c>
      <c r="EE64" s="17">
        <v>92.5</v>
      </c>
      <c r="EF64" s="17"/>
      <c r="EG64" s="17"/>
      <c r="EH64" s="17"/>
      <c r="EI64" s="17"/>
      <c r="EJ64" s="19"/>
      <c r="EK64" s="106">
        <v>56.6</v>
      </c>
      <c r="EL64" s="106">
        <v>3.32</v>
      </c>
      <c r="EM64" s="106">
        <v>11.1</v>
      </c>
      <c r="EN64" s="106">
        <v>10.6</v>
      </c>
      <c r="EO64" s="106">
        <v>11.5</v>
      </c>
      <c r="EP64" s="106"/>
      <c r="EQ64" s="106"/>
      <c r="FI64" s="65"/>
      <c r="GD64"/>
    </row>
    <row r="65" spans="1:186" s="6" customFormat="1" x14ac:dyDescent="0.2">
      <c r="A65" s="60" t="s">
        <v>887</v>
      </c>
      <c r="B65" s="6" t="s">
        <v>239</v>
      </c>
      <c r="C65" s="6" t="s">
        <v>241</v>
      </c>
      <c r="D65" s="6" t="s">
        <v>876</v>
      </c>
      <c r="H65" s="6">
        <v>1</v>
      </c>
      <c r="I65" s="6">
        <v>1</v>
      </c>
      <c r="L65" s="6" t="s">
        <v>240</v>
      </c>
      <c r="M65" s="6" t="s">
        <v>888</v>
      </c>
      <c r="N65" s="6" t="s">
        <v>197</v>
      </c>
      <c r="O65" s="6" t="s">
        <v>671</v>
      </c>
      <c r="P65" s="6" t="s">
        <v>672</v>
      </c>
      <c r="T65">
        <v>3.7797274360512585</v>
      </c>
      <c r="U65">
        <v>4.5640202138546018</v>
      </c>
      <c r="V65">
        <v>8.711083880536858</v>
      </c>
      <c r="W65">
        <v>5.1578731627163101</v>
      </c>
      <c r="X65">
        <v>0.81770264327634801</v>
      </c>
      <c r="Y65">
        <v>0.90231366088689713</v>
      </c>
      <c r="Z65" s="64">
        <v>499</v>
      </c>
      <c r="AA65" s="64"/>
      <c r="AB65" s="61"/>
      <c r="AC65" s="61"/>
      <c r="AD65" s="62"/>
      <c r="AE65" s="63"/>
      <c r="AF65" s="63"/>
      <c r="AG65" s="6" t="s">
        <v>239</v>
      </c>
      <c r="AH65" s="6" t="s">
        <v>240</v>
      </c>
      <c r="AI65" s="2"/>
      <c r="AJ65" s="3" t="s">
        <v>241</v>
      </c>
      <c r="AK65" s="3" t="s">
        <v>197</v>
      </c>
      <c r="AL65" s="6">
        <v>247</v>
      </c>
      <c r="EB65" s="15"/>
      <c r="EC65" s="15"/>
      <c r="ED65" s="15"/>
      <c r="EE65" s="15"/>
      <c r="EF65" s="15"/>
      <c r="EG65" s="15"/>
      <c r="EH65" s="15"/>
      <c r="EI65" s="15"/>
      <c r="EK65"/>
      <c r="EL65"/>
      <c r="EM65"/>
      <c r="EN65"/>
      <c r="EO65"/>
      <c r="EP65"/>
      <c r="EQ65"/>
      <c r="EW65" s="6">
        <v>264.00333333333333</v>
      </c>
      <c r="EX65" s="6">
        <v>154.35666666666665</v>
      </c>
      <c r="EY65" s="65">
        <v>76.58</v>
      </c>
      <c r="EZ65" s="6">
        <v>366.47666666666669</v>
      </c>
      <c r="FA65" s="6">
        <v>433.97333333333336</v>
      </c>
      <c r="FB65" s="65"/>
      <c r="FI65" s="65"/>
      <c r="GD65"/>
    </row>
    <row r="66" spans="1:186" s="6" customFormat="1" x14ac:dyDescent="0.2">
      <c r="A66" s="60" t="s">
        <v>898</v>
      </c>
      <c r="B66" s="6" t="s">
        <v>277</v>
      </c>
      <c r="C66" s="6" t="s">
        <v>279</v>
      </c>
      <c r="D66" s="6" t="s">
        <v>876</v>
      </c>
      <c r="H66" s="6">
        <v>1</v>
      </c>
      <c r="I66" s="6">
        <v>1</v>
      </c>
      <c r="L66" s="6" t="s">
        <v>278</v>
      </c>
      <c r="M66" s="6" t="s">
        <v>0</v>
      </c>
      <c r="N66" s="6" t="s">
        <v>197</v>
      </c>
      <c r="O66" s="6" t="s">
        <v>671</v>
      </c>
      <c r="P66" s="6" t="s">
        <v>672</v>
      </c>
      <c r="T66">
        <v>32.134443755576974</v>
      </c>
      <c r="U66">
        <v>21.291884431067349</v>
      </c>
      <c r="V66">
        <v>51.900051941310238</v>
      </c>
      <c r="W66">
        <v>23.631766150825015</v>
      </c>
      <c r="X66">
        <v>0.17078709349023372</v>
      </c>
      <c r="Y66">
        <v>0.56782662862980882</v>
      </c>
      <c r="Z66" s="64">
        <v>494</v>
      </c>
      <c r="AA66" s="64"/>
      <c r="AB66" s="61"/>
      <c r="AC66" s="61"/>
      <c r="AD66" s="62"/>
      <c r="AE66" s="63"/>
      <c r="AF66" s="63"/>
      <c r="AG66" s="6" t="s">
        <v>277</v>
      </c>
      <c r="AH66" s="6" t="s">
        <v>278</v>
      </c>
      <c r="AI66" s="2"/>
      <c r="AJ66" s="3" t="s">
        <v>279</v>
      </c>
      <c r="AK66" s="3" t="s">
        <v>197</v>
      </c>
      <c r="AL66" s="6">
        <v>392</v>
      </c>
      <c r="DW66" s="15"/>
      <c r="DX66" s="15"/>
      <c r="DY66" s="15"/>
      <c r="DZ66" s="15"/>
      <c r="EA66" s="15"/>
      <c r="EJ66" s="15"/>
      <c r="EK66"/>
      <c r="EL66"/>
      <c r="EM66"/>
      <c r="EN66"/>
      <c r="EO66"/>
      <c r="EP66"/>
      <c r="EQ66"/>
      <c r="EW66" s="6">
        <v>6860.3733333333339</v>
      </c>
      <c r="EX66" s="6">
        <v>5006.6433333333334</v>
      </c>
      <c r="EY66" s="65">
        <v>1865.95</v>
      </c>
      <c r="EZ66" s="6">
        <v>3539.7166666666667</v>
      </c>
      <c r="FA66" s="6">
        <v>4761.2600000000011</v>
      </c>
      <c r="GD66"/>
    </row>
    <row r="67" spans="1:186" s="6" customFormat="1" x14ac:dyDescent="0.2">
      <c r="A67" s="60" t="s">
        <v>768</v>
      </c>
      <c r="B67" s="6" t="s">
        <v>807</v>
      </c>
      <c r="C67" s="6" t="s">
        <v>68</v>
      </c>
      <c r="D67" s="6" t="s">
        <v>805</v>
      </c>
      <c r="F67" s="6">
        <v>300298</v>
      </c>
      <c r="H67" s="6">
        <v>1</v>
      </c>
      <c r="I67" s="6">
        <v>1</v>
      </c>
      <c r="J67" s="6">
        <v>1</v>
      </c>
      <c r="L67" s="6" t="s">
        <v>436</v>
      </c>
      <c r="M67" s="6" t="s">
        <v>808</v>
      </c>
      <c r="N67" s="6" t="s">
        <v>192</v>
      </c>
      <c r="O67" s="6" t="s">
        <v>671</v>
      </c>
      <c r="P67" s="6" t="s">
        <v>672</v>
      </c>
      <c r="T67">
        <v>33.528826605024712</v>
      </c>
      <c r="U67">
        <v>3.4880664327659687</v>
      </c>
      <c r="V67">
        <v>328.58945108145792</v>
      </c>
      <c r="W67">
        <v>22.947338463390722</v>
      </c>
      <c r="X67">
        <v>0.1198813581681641</v>
      </c>
      <c r="Y67">
        <v>0.53105895919934909</v>
      </c>
      <c r="Z67" s="64">
        <v>34</v>
      </c>
      <c r="AA67" s="64"/>
      <c r="AB67" s="61"/>
      <c r="AC67" s="61"/>
      <c r="AD67" s="62"/>
      <c r="AE67" s="63"/>
      <c r="AF67" s="63"/>
      <c r="AG67" s="4" t="s">
        <v>67</v>
      </c>
      <c r="AH67" s="6" t="s">
        <v>440</v>
      </c>
      <c r="AI67" s="4"/>
      <c r="AJ67" s="4" t="s">
        <v>68</v>
      </c>
      <c r="AK67" s="3" t="s">
        <v>192</v>
      </c>
      <c r="AM67" s="6" t="s">
        <v>193</v>
      </c>
      <c r="AN67" s="6" t="s">
        <v>441</v>
      </c>
      <c r="CT67" s="15">
        <v>45</v>
      </c>
      <c r="CU67" s="15">
        <v>50</v>
      </c>
      <c r="CV67" s="15">
        <v>55</v>
      </c>
      <c r="CW67" s="15">
        <v>0</v>
      </c>
      <c r="CX67" s="15">
        <v>49</v>
      </c>
      <c r="CY67" s="15">
        <v>48</v>
      </c>
      <c r="CZ67" s="15">
        <v>50</v>
      </c>
      <c r="DA67" s="15">
        <v>380</v>
      </c>
      <c r="DB67" s="15">
        <v>68</v>
      </c>
      <c r="DC67" s="15">
        <v>59</v>
      </c>
      <c r="DD67" s="15">
        <v>77</v>
      </c>
      <c r="DE67" s="15">
        <v>590</v>
      </c>
      <c r="DF67" s="15">
        <v>76</v>
      </c>
      <c r="DG67" s="15">
        <v>0</v>
      </c>
      <c r="DH67" s="15">
        <v>69</v>
      </c>
      <c r="DI67" s="15">
        <v>61</v>
      </c>
      <c r="DJ67" s="15">
        <v>86</v>
      </c>
      <c r="DK67" s="15">
        <v>240</v>
      </c>
      <c r="DL67" s="15">
        <v>69</v>
      </c>
      <c r="DM67" s="15">
        <v>91</v>
      </c>
      <c r="DN67" s="16">
        <v>79</v>
      </c>
      <c r="DO67" s="16">
        <v>60</v>
      </c>
      <c r="DP67" s="16">
        <v>63</v>
      </c>
      <c r="DQ67" s="16">
        <v>71</v>
      </c>
      <c r="DS67" s="16">
        <v>56</v>
      </c>
      <c r="DT67" s="16">
        <v>56</v>
      </c>
      <c r="DU67" s="16">
        <v>94</v>
      </c>
      <c r="DV67" s="16">
        <v>61</v>
      </c>
      <c r="EB67" s="19"/>
      <c r="EC67" s="19"/>
      <c r="ED67" s="19"/>
      <c r="EE67" s="19"/>
      <c r="EF67" s="19"/>
      <c r="EG67" s="19"/>
      <c r="EH67" s="19"/>
      <c r="EI67" s="19"/>
      <c r="EK67"/>
      <c r="EL67"/>
      <c r="EM67"/>
      <c r="EN67"/>
      <c r="EO67"/>
      <c r="EP67"/>
      <c r="EQ67"/>
      <c r="ER67" s="85">
        <v>4313.91</v>
      </c>
      <c r="ES67">
        <v>3155.2366666666662</v>
      </c>
      <c r="ET67">
        <v>833.13000000000011</v>
      </c>
      <c r="EU67">
        <v>650.02666666666676</v>
      </c>
      <c r="EV67">
        <v>1411.9766666666667</v>
      </c>
      <c r="FB67" s="6">
        <v>0</v>
      </c>
      <c r="FC67" s="6">
        <v>0</v>
      </c>
      <c r="FD67" s="6">
        <v>0</v>
      </c>
      <c r="FE67" s="6">
        <v>0</v>
      </c>
      <c r="FF67" s="6">
        <v>0</v>
      </c>
      <c r="FG67" s="6">
        <v>0.17132142857142857</v>
      </c>
      <c r="FH67" s="6">
        <v>0</v>
      </c>
      <c r="FI67" s="6">
        <v>0.61723333333333341</v>
      </c>
      <c r="FJ67" s="66">
        <v>0</v>
      </c>
      <c r="FK67" s="66">
        <v>6.1267021835103221E-2</v>
      </c>
      <c r="FL67" s="66">
        <v>0</v>
      </c>
      <c r="FM67" s="66">
        <v>0.36951885057471262</v>
      </c>
      <c r="FN67" s="66">
        <v>0</v>
      </c>
      <c r="FO67" s="66">
        <v>0.11345851851851853</v>
      </c>
      <c r="FP67" s="6">
        <v>2.9133333333333329E-3</v>
      </c>
      <c r="FQ67" s="6">
        <v>10.109833333333334</v>
      </c>
      <c r="FR67" s="66">
        <v>0</v>
      </c>
      <c r="FS67" s="6">
        <v>0.23743209876543206</v>
      </c>
      <c r="FT67" s="6">
        <v>4.984444444444445E-3</v>
      </c>
      <c r="FU67" s="6">
        <v>6.8535688888888906</v>
      </c>
      <c r="FV67" s="6">
        <v>0</v>
      </c>
      <c r="FW67" s="6">
        <v>0.22662499999999999</v>
      </c>
      <c r="FX67" s="6">
        <v>8.1022222222222225E-3</v>
      </c>
      <c r="FY67" s="6">
        <v>11.994097777777775</v>
      </c>
      <c r="FZ67" s="66">
        <v>0</v>
      </c>
      <c r="GA67" s="6">
        <v>6.2346666666666654E-2</v>
      </c>
      <c r="GB67" s="6">
        <v>1.2060000000000005E-2</v>
      </c>
      <c r="GC67" s="6">
        <v>27.113366666666664</v>
      </c>
      <c r="GD67"/>
    </row>
    <row r="68" spans="1:186" s="6" customFormat="1" x14ac:dyDescent="0.2">
      <c r="A68" s="60" t="s">
        <v>1023</v>
      </c>
      <c r="B68" s="6" t="s">
        <v>150</v>
      </c>
      <c r="C68" s="6" t="s">
        <v>7</v>
      </c>
      <c r="D68" s="6" t="s">
        <v>255</v>
      </c>
      <c r="F68" s="6">
        <v>300389</v>
      </c>
      <c r="G68" s="6">
        <v>1</v>
      </c>
      <c r="H68" s="6">
        <v>1</v>
      </c>
      <c r="J68" s="6">
        <v>1</v>
      </c>
      <c r="L68" s="6" t="s">
        <v>876</v>
      </c>
      <c r="M68" s="6" t="s">
        <v>876</v>
      </c>
      <c r="N68" s="6" t="s">
        <v>188</v>
      </c>
      <c r="O68" s="6" t="s">
        <v>876</v>
      </c>
      <c r="P68" s="6" t="s">
        <v>876</v>
      </c>
      <c r="T68"/>
      <c r="U68"/>
      <c r="V68"/>
      <c r="W68"/>
      <c r="X68"/>
      <c r="Y68"/>
      <c r="Z68"/>
      <c r="AA68"/>
      <c r="AB68" s="52">
        <v>7.0400000000000004E-5</v>
      </c>
      <c r="AC68" s="53">
        <v>4.3899999999999998E-3</v>
      </c>
      <c r="AD68" s="54">
        <v>0.63700000000000001</v>
      </c>
      <c r="AE68" s="54">
        <v>11.5</v>
      </c>
      <c r="AF68" s="54">
        <v>2.2799999999999998</v>
      </c>
      <c r="AG68" s="6" t="s">
        <v>150</v>
      </c>
      <c r="AI68" s="6">
        <v>300389</v>
      </c>
      <c r="AJ68" s="6" t="s">
        <v>7</v>
      </c>
      <c r="AK68" s="3" t="s">
        <v>188</v>
      </c>
      <c r="AL68" s="3"/>
      <c r="AM68" s="6" t="s">
        <v>246</v>
      </c>
      <c r="AO68" s="9">
        <v>145.24</v>
      </c>
      <c r="AP68" s="9">
        <v>133.55000000000001</v>
      </c>
      <c r="AQ68" s="9">
        <v>493.94</v>
      </c>
      <c r="AR68" s="9">
        <v>729.18</v>
      </c>
      <c r="AS68" s="9">
        <v>2068.3000000000002</v>
      </c>
      <c r="AT68" s="9">
        <v>439.75</v>
      </c>
      <c r="AU68" s="9">
        <v>99.82</v>
      </c>
      <c r="AV68" s="9">
        <v>1355.36</v>
      </c>
      <c r="AW68" s="9">
        <v>1066.1099999999999</v>
      </c>
      <c r="AX68" s="9">
        <v>1252</v>
      </c>
      <c r="AY68" s="9">
        <v>1252</v>
      </c>
      <c r="AZ68" s="9">
        <v>84.52</v>
      </c>
      <c r="BA68" s="10">
        <v>141.25033339999999</v>
      </c>
      <c r="BB68" s="10">
        <v>138.5291296</v>
      </c>
      <c r="BC68" s="10">
        <v>304.0293696</v>
      </c>
      <c r="BD68" s="10">
        <v>432.14122639999999</v>
      </c>
      <c r="BE68" s="10">
        <v>842.77816919999987</v>
      </c>
      <c r="BF68" s="10">
        <v>220.95716399999998</v>
      </c>
      <c r="BG68" s="10">
        <v>99.625161999999989</v>
      </c>
      <c r="BH68" s="10">
        <v>546.53272559999994</v>
      </c>
      <c r="BI68" s="10">
        <v>507.51314039999994</v>
      </c>
      <c r="BJ68" s="10">
        <v>540.485454</v>
      </c>
      <c r="BK68" s="10">
        <v>571.76453759999993</v>
      </c>
      <c r="BL68" s="10">
        <v>485.90119200000004</v>
      </c>
      <c r="BM68" s="10">
        <v>127.3446144</v>
      </c>
      <c r="BN68" s="11">
        <v>96.71759200000001</v>
      </c>
      <c r="BO68" s="11">
        <v>69.620624799999987</v>
      </c>
      <c r="BP68" s="11">
        <v>249.33311999999998</v>
      </c>
      <c r="BQ68" s="11">
        <v>463.42445280000004</v>
      </c>
      <c r="BR68" s="11">
        <v>1097.8551</v>
      </c>
      <c r="BS68" s="11">
        <v>139.50203400000004</v>
      </c>
      <c r="BT68" s="11">
        <v>697.4389607999999</v>
      </c>
      <c r="BU68" s="11">
        <v>463.3931872</v>
      </c>
      <c r="BV68" s="11">
        <v>91.549899799999992</v>
      </c>
      <c r="BW68" s="11">
        <v>56.207208399999999</v>
      </c>
      <c r="BX68" s="11">
        <v>128.33116799999999</v>
      </c>
      <c r="BY68" s="11">
        <v>167.44646699999998</v>
      </c>
      <c r="BZ68" s="11">
        <v>381.30537719999995</v>
      </c>
      <c r="CA68" s="11">
        <v>73.719136999999989</v>
      </c>
      <c r="CB68" s="11">
        <v>444.39523199999996</v>
      </c>
      <c r="CC68" s="11">
        <v>324.49429680000003</v>
      </c>
      <c r="CD68" s="11">
        <v>52.505025400000001</v>
      </c>
      <c r="CE68" s="11">
        <v>159.06843800000001</v>
      </c>
      <c r="CF68" s="11">
        <v>92.758086000000006</v>
      </c>
      <c r="CG68" s="11">
        <v>385.34227199999998</v>
      </c>
      <c r="CH68" s="11">
        <v>542.76741079999999</v>
      </c>
      <c r="CI68" s="11">
        <v>2250.6931140000002</v>
      </c>
      <c r="CJ68" s="11">
        <v>138.66357920000002</v>
      </c>
      <c r="CK68" s="11">
        <v>466.47342320000001</v>
      </c>
      <c r="CL68" s="11">
        <v>84.362582599999996</v>
      </c>
      <c r="CM68" s="11">
        <v>83.169189599999996</v>
      </c>
      <c r="CN68" s="11">
        <v>164.99750399999999</v>
      </c>
      <c r="CO68" s="11">
        <v>194.7380072</v>
      </c>
      <c r="CP68" s="11">
        <v>59.371744000000007</v>
      </c>
      <c r="CQ68" s="11">
        <v>396.17352900000003</v>
      </c>
      <c r="CR68" s="11">
        <v>178.95123839999999</v>
      </c>
      <c r="CS68" s="11">
        <v>89.499364799999995</v>
      </c>
      <c r="CT68" s="18">
        <v>35.030502399999996</v>
      </c>
      <c r="CU68" s="18">
        <v>60.3147752</v>
      </c>
      <c r="CV68" s="18">
        <v>190.96546499999999</v>
      </c>
      <c r="CW68" s="18">
        <v>58.547945599999998</v>
      </c>
      <c r="CX68" s="18">
        <v>51.480293999999994</v>
      </c>
      <c r="CY68" s="18">
        <v>43.098750000000003</v>
      </c>
      <c r="CZ68" s="18">
        <v>540.35547719999988</v>
      </c>
      <c r="DA68" s="18">
        <v>18103.029519</v>
      </c>
      <c r="DB68" s="18">
        <v>217.45428959999998</v>
      </c>
      <c r="DC68" s="18">
        <v>0</v>
      </c>
      <c r="DD68" s="18">
        <v>0</v>
      </c>
      <c r="DE68" s="18">
        <v>9298.2690449999991</v>
      </c>
      <c r="DF68" s="18">
        <v>79.651305999999991</v>
      </c>
      <c r="DG68" s="18">
        <v>388.69270560000001</v>
      </c>
      <c r="DH68" s="18">
        <v>161.7763056</v>
      </c>
      <c r="DI68" s="18">
        <v>96.102618000000007</v>
      </c>
      <c r="DJ68" s="18">
        <v>188.86106319999999</v>
      </c>
      <c r="DK68" s="18">
        <v>3549.8702524000005</v>
      </c>
      <c r="DL68" s="18">
        <v>217.35945000000001</v>
      </c>
      <c r="DM68" s="18">
        <v>1384.0832832000001</v>
      </c>
      <c r="DN68" s="18">
        <v>901.11544719999995</v>
      </c>
      <c r="DO68" s="18">
        <v>68.494355999999996</v>
      </c>
      <c r="DP68" s="18">
        <v>70.586816000000013</v>
      </c>
      <c r="DQ68" s="18">
        <v>220.98949200000001</v>
      </c>
      <c r="DR68" s="18">
        <v>110.743458</v>
      </c>
      <c r="DS68" s="18">
        <v>306.34680120000002</v>
      </c>
      <c r="DT68" s="18">
        <v>55.835225000000008</v>
      </c>
      <c r="DU68" s="18">
        <v>99.283637999999996</v>
      </c>
      <c r="DV68" s="18">
        <v>99.899716200000015</v>
      </c>
      <c r="DW68" s="19">
        <v>110</v>
      </c>
      <c r="DX68" s="19">
        <v>140</v>
      </c>
      <c r="DY68" s="19">
        <v>290</v>
      </c>
      <c r="DZ68" s="19">
        <v>210</v>
      </c>
      <c r="EA68" s="19">
        <v>140</v>
      </c>
      <c r="EB68" s="17">
        <v>302</v>
      </c>
      <c r="EC68" s="17">
        <v>1020</v>
      </c>
      <c r="ED68" s="17">
        <v>168</v>
      </c>
      <c r="EE68" s="17">
        <v>141</v>
      </c>
      <c r="EF68" s="17"/>
      <c r="EG68" s="17"/>
      <c r="EH68" s="17"/>
      <c r="EI68" s="17"/>
      <c r="EJ68" s="19"/>
      <c r="EK68" s="106">
        <v>2510</v>
      </c>
      <c r="EL68" s="106">
        <v>218</v>
      </c>
      <c r="EM68" s="106">
        <v>363</v>
      </c>
      <c r="EN68" s="106">
        <v>368</v>
      </c>
      <c r="EO68" s="106">
        <v>383</v>
      </c>
      <c r="EP68" s="106"/>
      <c r="EQ68" s="106"/>
      <c r="FB68" s="6">
        <v>0</v>
      </c>
      <c r="FC68" s="6">
        <v>0.40897619047619044</v>
      </c>
      <c r="FD68" s="6">
        <v>0</v>
      </c>
      <c r="FE68" s="6">
        <v>0</v>
      </c>
      <c r="FF68" s="6">
        <v>0</v>
      </c>
      <c r="FG68" s="6">
        <v>73.589380952380935</v>
      </c>
      <c r="FH68" s="6">
        <v>0.32617460317460312</v>
      </c>
      <c r="FI68" s="6">
        <v>0</v>
      </c>
      <c r="FJ68" s="66">
        <v>0</v>
      </c>
      <c r="FK68" s="66">
        <v>37.376159925227689</v>
      </c>
      <c r="FL68" s="66">
        <v>0</v>
      </c>
      <c r="FM68" s="66">
        <v>0</v>
      </c>
      <c r="FN68" s="66">
        <v>0</v>
      </c>
      <c r="FO68" s="66">
        <v>33.226513888888896</v>
      </c>
      <c r="FP68" s="6">
        <v>0</v>
      </c>
      <c r="FQ68" s="6">
        <v>0</v>
      </c>
      <c r="FR68" s="66">
        <v>0</v>
      </c>
      <c r="FS68" s="6">
        <v>133.38765185185187</v>
      </c>
      <c r="FT68" s="6">
        <v>0</v>
      </c>
      <c r="FU68" s="6">
        <v>0</v>
      </c>
      <c r="FV68" s="6">
        <v>0</v>
      </c>
      <c r="FW68" s="6">
        <v>12.826666666666664</v>
      </c>
      <c r="FX68" s="6">
        <v>0</v>
      </c>
      <c r="FY68" s="6">
        <v>0</v>
      </c>
      <c r="FZ68" s="66">
        <v>0</v>
      </c>
      <c r="GA68" s="6">
        <v>7.2889999999999988</v>
      </c>
      <c r="GB68" s="6">
        <v>0</v>
      </c>
      <c r="GC68" s="6">
        <v>0</v>
      </c>
      <c r="GD68"/>
    </row>
    <row r="69" spans="1:186" s="6" customFormat="1" x14ac:dyDescent="0.2">
      <c r="A69" s="60" t="s">
        <v>935</v>
      </c>
      <c r="B69" s="6" t="s">
        <v>936</v>
      </c>
      <c r="C69" s="6" t="s">
        <v>433</v>
      </c>
      <c r="D69" s="6" t="s">
        <v>876</v>
      </c>
      <c r="H69" s="6">
        <v>1</v>
      </c>
      <c r="I69" s="6">
        <v>1</v>
      </c>
      <c r="L69" s="6" t="s">
        <v>429</v>
      </c>
      <c r="M69" s="6" t="s">
        <v>937</v>
      </c>
      <c r="N69" s="6" t="s">
        <v>270</v>
      </c>
      <c r="O69" s="6" t="s">
        <v>671</v>
      </c>
      <c r="P69" s="6" t="s">
        <v>672</v>
      </c>
      <c r="T69">
        <v>27.713954138313333</v>
      </c>
      <c r="U69">
        <v>17.102366930833416</v>
      </c>
      <c r="V69">
        <v>41.571012397280981</v>
      </c>
      <c r="W69">
        <v>18.642783807234785</v>
      </c>
      <c r="X69">
        <v>0.22320064711210066</v>
      </c>
      <c r="Y69">
        <v>0.66577227502027436</v>
      </c>
      <c r="Z69" s="64">
        <v>25</v>
      </c>
      <c r="AA69" s="64"/>
      <c r="AB69" s="61"/>
      <c r="AC69" s="61"/>
      <c r="AD69" s="62"/>
      <c r="AE69" s="63"/>
      <c r="AF69" s="63"/>
      <c r="AG69" s="6" t="s">
        <v>431</v>
      </c>
      <c r="AH69" s="6" t="s">
        <v>432</v>
      </c>
      <c r="AI69" s="2"/>
      <c r="AJ69" s="3" t="s">
        <v>433</v>
      </c>
      <c r="AK69" s="3" t="s">
        <v>270</v>
      </c>
      <c r="AL69" s="6">
        <v>965</v>
      </c>
      <c r="AM69" s="6" t="s">
        <v>193</v>
      </c>
      <c r="DW69" s="19">
        <v>110</v>
      </c>
      <c r="DX69" s="19">
        <v>130</v>
      </c>
      <c r="DY69" s="19">
        <v>140</v>
      </c>
      <c r="DZ69" s="19">
        <v>85</v>
      </c>
      <c r="EA69" s="19">
        <v>57</v>
      </c>
      <c r="EJ69" s="19"/>
      <c r="EK69"/>
      <c r="EL69"/>
      <c r="EM69"/>
      <c r="EN69"/>
      <c r="EO69"/>
      <c r="EP69"/>
      <c r="EQ69"/>
      <c r="FB69" s="6">
        <v>0</v>
      </c>
      <c r="FC69" s="6">
        <v>0</v>
      </c>
      <c r="FD69" s="6">
        <v>0</v>
      </c>
      <c r="FE69" s="6">
        <v>0</v>
      </c>
      <c r="FF69" s="6">
        <v>0</v>
      </c>
      <c r="FG69" s="6">
        <v>0.24835714285714283</v>
      </c>
      <c r="FH69" s="6">
        <v>7.8785714285714278E-2</v>
      </c>
      <c r="FI69" s="6">
        <v>1.3988095238095235E-2</v>
      </c>
      <c r="FJ69" s="66">
        <v>0</v>
      </c>
      <c r="FK69" s="66">
        <v>0</v>
      </c>
      <c r="FL69" s="66">
        <v>0</v>
      </c>
      <c r="FM69" s="66">
        <v>0</v>
      </c>
      <c r="FN69" s="66">
        <v>0</v>
      </c>
      <c r="FO69" s="66">
        <v>0</v>
      </c>
      <c r="FP69" s="6">
        <v>0</v>
      </c>
      <c r="FQ69" s="6">
        <v>0</v>
      </c>
      <c r="FR69" s="66">
        <v>0</v>
      </c>
      <c r="FS69" s="6">
        <v>0</v>
      </c>
      <c r="FT69" s="6">
        <v>0</v>
      </c>
      <c r="FU69" s="6">
        <v>0</v>
      </c>
      <c r="FV69" s="6">
        <v>0</v>
      </c>
      <c r="FW69" s="6">
        <v>0</v>
      </c>
      <c r="FX69" s="6">
        <v>0</v>
      </c>
      <c r="FY69" s="6">
        <v>0</v>
      </c>
      <c r="FZ69" s="66">
        <v>0</v>
      </c>
      <c r="GA69" s="6">
        <v>0</v>
      </c>
      <c r="GB69" s="6">
        <v>0</v>
      </c>
      <c r="GC69" s="6">
        <v>0</v>
      </c>
      <c r="GD69"/>
    </row>
    <row r="70" spans="1:186" s="6" customFormat="1" x14ac:dyDescent="0.2">
      <c r="A70" s="60" t="s">
        <v>1027</v>
      </c>
      <c r="B70" s="6" t="s">
        <v>155</v>
      </c>
      <c r="C70" s="6" t="s">
        <v>97</v>
      </c>
      <c r="D70" s="6" t="s">
        <v>255</v>
      </c>
      <c r="F70" s="6">
        <v>300739</v>
      </c>
      <c r="G70" s="6">
        <v>1</v>
      </c>
      <c r="H70" s="6">
        <v>1</v>
      </c>
      <c r="J70" s="6">
        <v>1</v>
      </c>
      <c r="L70" s="6" t="s">
        <v>876</v>
      </c>
      <c r="M70" s="6" t="s">
        <v>876</v>
      </c>
      <c r="N70" s="6" t="s">
        <v>427</v>
      </c>
      <c r="O70" s="6" t="s">
        <v>876</v>
      </c>
      <c r="P70" s="6" t="s">
        <v>876</v>
      </c>
      <c r="T70"/>
      <c r="U70"/>
      <c r="V70"/>
      <c r="W70"/>
      <c r="X70"/>
      <c r="Y70"/>
      <c r="Z70"/>
      <c r="AA70"/>
      <c r="AB70" s="61"/>
      <c r="AC70" s="61"/>
      <c r="AD70" s="62"/>
      <c r="AE70" s="63"/>
      <c r="AF70" s="63"/>
      <c r="AG70" s="6" t="s">
        <v>155</v>
      </c>
      <c r="AI70" s="6">
        <v>300739</v>
      </c>
      <c r="AJ70" s="6" t="s">
        <v>97</v>
      </c>
      <c r="AK70" s="3" t="s">
        <v>427</v>
      </c>
      <c r="AL70" s="3"/>
      <c r="AM70" s="6" t="s">
        <v>246</v>
      </c>
      <c r="DW70" s="19">
        <v>8.6999999999999993</v>
      </c>
      <c r="DX70" s="19">
        <v>11</v>
      </c>
      <c r="DY70" s="19">
        <v>22</v>
      </c>
      <c r="DZ70" s="19">
        <v>17</v>
      </c>
      <c r="EA70" s="19">
        <v>15</v>
      </c>
      <c r="EB70" s="17">
        <v>107</v>
      </c>
      <c r="EC70" s="17">
        <v>158</v>
      </c>
      <c r="ED70" s="17">
        <v>132</v>
      </c>
      <c r="EE70" s="17">
        <v>144</v>
      </c>
      <c r="EF70" s="17"/>
      <c r="EG70" s="17"/>
      <c r="EH70" s="17"/>
      <c r="EI70" s="17"/>
      <c r="EJ70" s="19"/>
      <c r="EK70" s="106">
        <v>0.53</v>
      </c>
      <c r="EL70" s="106">
        <v>0.53</v>
      </c>
      <c r="EM70" s="106">
        <v>0.53</v>
      </c>
      <c r="EN70" s="106">
        <v>0.53</v>
      </c>
      <c r="EO70" s="106">
        <v>0.53</v>
      </c>
      <c r="EP70" s="106"/>
      <c r="EQ70" s="106"/>
      <c r="FB70" s="6">
        <v>0</v>
      </c>
      <c r="FC70" s="6">
        <v>0</v>
      </c>
      <c r="FD70" s="6">
        <v>0</v>
      </c>
      <c r="FE70" s="6">
        <v>0</v>
      </c>
      <c r="FF70" s="6">
        <v>0</v>
      </c>
      <c r="FG70" s="6">
        <v>0.55002380952380947</v>
      </c>
      <c r="FH70" s="6">
        <v>0.16982142857142854</v>
      </c>
      <c r="FI70" s="6">
        <v>0</v>
      </c>
      <c r="FJ70" s="66">
        <v>0</v>
      </c>
      <c r="FK70" s="66">
        <v>0.67913850773575146</v>
      </c>
      <c r="FL70" s="66">
        <v>0</v>
      </c>
      <c r="FM70" s="66">
        <v>0</v>
      </c>
      <c r="FN70" s="66">
        <v>0</v>
      </c>
      <c r="FO70" s="66">
        <v>0.21919722222222227</v>
      </c>
      <c r="FP70" s="6">
        <v>0</v>
      </c>
      <c r="FQ70" s="6">
        <v>0</v>
      </c>
      <c r="FR70" s="66">
        <v>0</v>
      </c>
      <c r="FS70" s="6">
        <v>0.34074074074074068</v>
      </c>
      <c r="FT70" s="6">
        <v>0</v>
      </c>
      <c r="FU70" s="6">
        <v>0</v>
      </c>
      <c r="FV70" s="6">
        <v>0</v>
      </c>
      <c r="FW70" s="6">
        <v>0.12915000000000001</v>
      </c>
      <c r="FX70" s="6">
        <v>0</v>
      </c>
      <c r="FY70" s="6">
        <v>0</v>
      </c>
      <c r="FZ70" s="66">
        <v>0</v>
      </c>
      <c r="GA70" s="6">
        <v>0.42211666666666664</v>
      </c>
      <c r="GB70" s="6">
        <v>0</v>
      </c>
      <c r="GC70" s="6">
        <v>0</v>
      </c>
      <c r="GD70"/>
    </row>
    <row r="71" spans="1:186" s="6" customFormat="1" x14ac:dyDescent="0.2">
      <c r="A71" s="60" t="s">
        <v>1045</v>
      </c>
      <c r="B71" s="6" t="s">
        <v>1046</v>
      </c>
      <c r="C71" s="6" t="s">
        <v>563</v>
      </c>
      <c r="D71" s="6" t="s">
        <v>805</v>
      </c>
      <c r="F71" s="6">
        <v>301717</v>
      </c>
      <c r="H71" s="6">
        <v>1</v>
      </c>
      <c r="J71" s="6">
        <v>1</v>
      </c>
      <c r="L71" s="6" t="s">
        <v>876</v>
      </c>
      <c r="M71" s="6" t="s">
        <v>876</v>
      </c>
      <c r="N71" s="6" t="s">
        <v>192</v>
      </c>
      <c r="O71" s="6" t="s">
        <v>876</v>
      </c>
      <c r="P71" s="6" t="s">
        <v>876</v>
      </c>
      <c r="T71"/>
      <c r="U71"/>
      <c r="V71"/>
      <c r="W71"/>
      <c r="X71"/>
      <c r="Y71"/>
      <c r="Z71"/>
      <c r="AA71"/>
      <c r="AB71" s="61"/>
      <c r="AC71" s="61"/>
      <c r="AD71" s="62"/>
      <c r="AE71" s="63"/>
      <c r="AF71" s="63"/>
      <c r="AG71" s="4" t="s">
        <v>562</v>
      </c>
      <c r="AI71" s="2"/>
      <c r="AJ71" s="6" t="s">
        <v>563</v>
      </c>
      <c r="AK71" s="3" t="s">
        <v>192</v>
      </c>
      <c r="AM71" s="6" t="s">
        <v>193</v>
      </c>
      <c r="AN71" s="8" t="s">
        <v>564</v>
      </c>
      <c r="EB71" s="15"/>
      <c r="EC71" s="15"/>
      <c r="ED71" s="15"/>
      <c r="EE71" s="15"/>
      <c r="EF71" s="15"/>
      <c r="EG71" s="15"/>
      <c r="EH71" s="15"/>
      <c r="EI71" s="15"/>
      <c r="EK71"/>
      <c r="EL71"/>
      <c r="EM71"/>
      <c r="EN71"/>
      <c r="EO71"/>
      <c r="EP71"/>
      <c r="EQ71"/>
      <c r="ER71" s="86">
        <v>0</v>
      </c>
      <c r="ES71" s="6">
        <v>519.82333333333338</v>
      </c>
      <c r="ET71" s="6">
        <v>0</v>
      </c>
      <c r="EU71" s="6">
        <v>0</v>
      </c>
      <c r="EV71" s="6">
        <v>0</v>
      </c>
      <c r="FB71" s="6">
        <v>0</v>
      </c>
      <c r="FC71" s="6">
        <v>0</v>
      </c>
      <c r="FD71" s="6">
        <v>0</v>
      </c>
      <c r="FE71" s="6">
        <v>0</v>
      </c>
      <c r="FF71" s="6">
        <v>0</v>
      </c>
      <c r="FG71" s="6">
        <v>0</v>
      </c>
      <c r="FH71" s="6">
        <v>0</v>
      </c>
      <c r="FI71" s="6">
        <v>0</v>
      </c>
      <c r="FJ71" s="66">
        <v>0</v>
      </c>
      <c r="FK71" s="66">
        <v>0</v>
      </c>
      <c r="FL71" s="66">
        <v>0</v>
      </c>
      <c r="FM71" s="66">
        <v>0</v>
      </c>
      <c r="FN71" s="66">
        <v>0</v>
      </c>
      <c r="FO71" s="66">
        <v>0</v>
      </c>
      <c r="FP71" s="6">
        <v>0</v>
      </c>
      <c r="FQ71" s="6">
        <v>0</v>
      </c>
      <c r="FR71" s="66">
        <v>0</v>
      </c>
      <c r="FS71" s="6">
        <v>0</v>
      </c>
      <c r="FT71" s="6">
        <v>0</v>
      </c>
      <c r="FU71" s="6">
        <v>0</v>
      </c>
      <c r="FV71" s="6">
        <v>0</v>
      </c>
      <c r="FW71" s="6">
        <v>0</v>
      </c>
      <c r="FX71" s="6">
        <v>0</v>
      </c>
      <c r="FY71" s="6">
        <v>0</v>
      </c>
      <c r="FZ71" s="66">
        <v>0</v>
      </c>
      <c r="GA71" s="6">
        <v>0</v>
      </c>
      <c r="GB71" s="6">
        <v>0</v>
      </c>
      <c r="GC71" s="6">
        <v>0</v>
      </c>
      <c r="GD71"/>
    </row>
    <row r="72" spans="1:186" s="6" customFormat="1" x14ac:dyDescent="0.2">
      <c r="A72" s="60" t="s">
        <v>1056</v>
      </c>
      <c r="B72" s="6" t="s">
        <v>565</v>
      </c>
      <c r="C72" s="6" t="s">
        <v>566</v>
      </c>
      <c r="D72" s="6" t="s">
        <v>876</v>
      </c>
      <c r="H72" s="6">
        <v>1</v>
      </c>
      <c r="L72" s="6" t="s">
        <v>876</v>
      </c>
      <c r="M72" s="6" t="s">
        <v>876</v>
      </c>
      <c r="N72" s="6" t="s">
        <v>192</v>
      </c>
      <c r="O72" s="6" t="s">
        <v>876</v>
      </c>
      <c r="P72" s="6" t="s">
        <v>876</v>
      </c>
      <c r="T72"/>
      <c r="U72"/>
      <c r="V72"/>
      <c r="W72"/>
      <c r="X72"/>
      <c r="Y72"/>
      <c r="Z72"/>
      <c r="AA72"/>
      <c r="AB72" s="61"/>
      <c r="AC72" s="61"/>
      <c r="AD72" s="62"/>
      <c r="AE72" s="63"/>
      <c r="AF72" s="63"/>
      <c r="AG72" s="4" t="s">
        <v>565</v>
      </c>
      <c r="AI72" s="2"/>
      <c r="AJ72" s="6" t="s">
        <v>566</v>
      </c>
      <c r="AK72" s="3" t="s">
        <v>192</v>
      </c>
      <c r="AM72" s="6" t="s">
        <v>193</v>
      </c>
      <c r="DW72" s="15"/>
      <c r="DX72" s="15"/>
      <c r="DY72" s="15"/>
      <c r="DZ72" s="15"/>
      <c r="EA72" s="15"/>
      <c r="EJ72" s="15"/>
      <c r="EK72"/>
      <c r="EL72"/>
      <c r="EM72"/>
      <c r="EN72"/>
      <c r="EO72"/>
      <c r="EP72"/>
      <c r="EQ72"/>
      <c r="ER72" s="86">
        <v>0</v>
      </c>
      <c r="ES72" s="6">
        <v>0</v>
      </c>
      <c r="ET72" s="6">
        <v>933.89666666666665</v>
      </c>
      <c r="EU72" s="6">
        <v>0</v>
      </c>
      <c r="EV72" s="6">
        <v>1529.1066666666666</v>
      </c>
      <c r="GD72"/>
    </row>
    <row r="73" spans="1:186" s="6" customFormat="1" x14ac:dyDescent="0.2">
      <c r="A73" s="60" t="s">
        <v>813</v>
      </c>
      <c r="B73" s="6" t="s">
        <v>814</v>
      </c>
      <c r="C73" s="6" t="s">
        <v>58</v>
      </c>
      <c r="D73" s="6" t="s">
        <v>805</v>
      </c>
      <c r="F73" s="6">
        <v>300302</v>
      </c>
      <c r="H73" s="6">
        <v>1</v>
      </c>
      <c r="I73" s="6">
        <v>1</v>
      </c>
      <c r="J73" s="6">
        <v>1</v>
      </c>
      <c r="L73" s="6" t="s">
        <v>372</v>
      </c>
      <c r="M73" s="6" t="s">
        <v>815</v>
      </c>
      <c r="N73" s="6" t="s">
        <v>192</v>
      </c>
      <c r="O73" s="6" t="s">
        <v>671</v>
      </c>
      <c r="P73" s="6" t="s">
        <v>672</v>
      </c>
      <c r="T73">
        <v>155.19455458875393</v>
      </c>
      <c r="U73">
        <v>7.4401908947506223</v>
      </c>
      <c r="V73">
        <v>575.76203778691195</v>
      </c>
      <c r="W73">
        <v>10000</v>
      </c>
      <c r="X73">
        <v>0.10994764468914986</v>
      </c>
      <c r="Y73">
        <v>0.22064302403063341</v>
      </c>
      <c r="Z73" s="64">
        <v>209</v>
      </c>
      <c r="AA73" s="64"/>
      <c r="AB73" s="61"/>
      <c r="AC73" s="61"/>
      <c r="AD73" s="62"/>
      <c r="AE73" s="63"/>
      <c r="AF73" s="63"/>
      <c r="AG73" s="6" t="s">
        <v>374</v>
      </c>
      <c r="AH73" s="6" t="s">
        <v>375</v>
      </c>
      <c r="AI73" s="4">
        <v>300302</v>
      </c>
      <c r="AJ73" s="3" t="s">
        <v>58</v>
      </c>
      <c r="AK73" s="3" t="s">
        <v>192</v>
      </c>
      <c r="AL73" s="6">
        <v>689</v>
      </c>
      <c r="AM73" s="6" t="s">
        <v>193</v>
      </c>
      <c r="AN73" s="4" t="s">
        <v>376</v>
      </c>
      <c r="CT73" s="15">
        <v>0</v>
      </c>
      <c r="CU73" s="15">
        <v>0</v>
      </c>
      <c r="CV73" s="15">
        <v>0</v>
      </c>
      <c r="CW73" s="15">
        <v>0</v>
      </c>
      <c r="CX73" s="15">
        <v>0</v>
      </c>
      <c r="CY73" s="15">
        <v>0</v>
      </c>
      <c r="CZ73" s="15">
        <v>0</v>
      </c>
      <c r="DA73" s="15">
        <v>0</v>
      </c>
      <c r="DB73" s="15">
        <v>0</v>
      </c>
      <c r="DC73" s="15">
        <v>0</v>
      </c>
      <c r="DD73" s="15">
        <v>0</v>
      </c>
      <c r="DE73" s="15">
        <v>0</v>
      </c>
      <c r="DF73" s="15">
        <v>0</v>
      </c>
      <c r="DG73" s="15">
        <v>0</v>
      </c>
      <c r="DH73" s="15">
        <v>0</v>
      </c>
      <c r="DI73" s="15">
        <v>0</v>
      </c>
      <c r="DJ73" s="15">
        <v>0</v>
      </c>
      <c r="DK73" s="15">
        <v>0</v>
      </c>
      <c r="DL73" s="15">
        <v>0</v>
      </c>
      <c r="DM73" s="15">
        <v>0</v>
      </c>
      <c r="DN73" s="16">
        <v>0</v>
      </c>
      <c r="DO73" s="16">
        <v>0</v>
      </c>
      <c r="DP73" s="16">
        <v>0</v>
      </c>
      <c r="DQ73" s="16">
        <v>0</v>
      </c>
      <c r="DS73" s="16">
        <v>0</v>
      </c>
      <c r="DT73" s="16">
        <v>0</v>
      </c>
      <c r="DU73" s="16">
        <v>0</v>
      </c>
      <c r="DV73" s="16">
        <v>0</v>
      </c>
      <c r="EK73"/>
      <c r="EL73"/>
      <c r="EM73"/>
      <c r="EN73"/>
      <c r="EO73"/>
      <c r="EP73"/>
      <c r="EQ73"/>
      <c r="ER73" s="65">
        <v>2550.4966666666669</v>
      </c>
      <c r="ES73" s="6">
        <v>1512.63</v>
      </c>
      <c r="ET73" s="6">
        <v>416.43</v>
      </c>
      <c r="EU73" s="6">
        <v>486.09</v>
      </c>
      <c r="EV73" s="6">
        <v>774.65000000000009</v>
      </c>
      <c r="FB73" s="67"/>
      <c r="GD73"/>
    </row>
    <row r="74" spans="1:186" s="6" customFormat="1" x14ac:dyDescent="0.2">
      <c r="A74" s="60" t="s">
        <v>847</v>
      </c>
      <c r="B74" s="6" t="s">
        <v>628</v>
      </c>
      <c r="C74" s="6" t="s">
        <v>290</v>
      </c>
      <c r="D74" s="6" t="s">
        <v>255</v>
      </c>
      <c r="F74" s="6">
        <v>301731</v>
      </c>
      <c r="H74" s="6">
        <v>1</v>
      </c>
      <c r="I74" s="6">
        <v>1</v>
      </c>
      <c r="J74" s="6">
        <v>1</v>
      </c>
      <c r="L74" s="6" t="s">
        <v>289</v>
      </c>
      <c r="M74" s="6" t="s">
        <v>848</v>
      </c>
      <c r="N74" s="6" t="s">
        <v>201</v>
      </c>
      <c r="O74" s="6" t="s">
        <v>671</v>
      </c>
      <c r="P74" s="6" t="s">
        <v>672</v>
      </c>
      <c r="T74">
        <v>10000</v>
      </c>
      <c r="U74">
        <v>5.9242158760160928</v>
      </c>
      <c r="V74">
        <v>10000</v>
      </c>
      <c r="W74">
        <v>300.49871810278239</v>
      </c>
      <c r="X74">
        <v>6.4037452200730732E-2</v>
      </c>
      <c r="Y74">
        <v>0.24526355114923995</v>
      </c>
      <c r="Z74" s="64">
        <v>95</v>
      </c>
      <c r="AA74" s="64"/>
      <c r="AB74" s="61"/>
      <c r="AC74" s="61"/>
      <c r="AD74" s="62"/>
      <c r="AE74" s="63"/>
      <c r="AF74" s="63"/>
      <c r="AG74" s="6" t="s">
        <v>288</v>
      </c>
      <c r="AH74" s="6" t="s">
        <v>289</v>
      </c>
      <c r="AI74" s="2"/>
      <c r="AJ74" s="3" t="s">
        <v>290</v>
      </c>
      <c r="AK74" s="3" t="s">
        <v>201</v>
      </c>
      <c r="AL74" s="6">
        <v>414</v>
      </c>
      <c r="AM74" s="6" t="s">
        <v>193</v>
      </c>
      <c r="EK74"/>
      <c r="EL74"/>
      <c r="EM74"/>
      <c r="EN74"/>
      <c r="EO74"/>
      <c r="EP74"/>
      <c r="EQ74"/>
      <c r="FB74" s="6">
        <v>0</v>
      </c>
      <c r="FC74" s="6">
        <v>0</v>
      </c>
      <c r="FD74" s="6">
        <v>0</v>
      </c>
      <c r="FE74" s="6">
        <v>0</v>
      </c>
      <c r="FF74" s="6">
        <v>0</v>
      </c>
      <c r="FG74" s="6">
        <v>0</v>
      </c>
      <c r="FH74" s="6">
        <v>0</v>
      </c>
      <c r="FI74" s="6">
        <v>0</v>
      </c>
      <c r="FJ74" s="66">
        <v>0</v>
      </c>
      <c r="FK74" s="66">
        <v>0</v>
      </c>
      <c r="FL74" s="66">
        <v>0</v>
      </c>
      <c r="FM74" s="66">
        <v>0</v>
      </c>
      <c r="FN74" s="66">
        <v>0</v>
      </c>
      <c r="FO74" s="66">
        <v>0</v>
      </c>
      <c r="FP74" s="6">
        <v>0</v>
      </c>
      <c r="FQ74" s="6">
        <v>0</v>
      </c>
      <c r="FR74" s="66">
        <v>0</v>
      </c>
      <c r="FS74" s="6">
        <v>0</v>
      </c>
      <c r="FT74" s="6">
        <v>0</v>
      </c>
      <c r="FU74" s="6">
        <v>0</v>
      </c>
      <c r="FV74" s="6">
        <v>0</v>
      </c>
      <c r="FW74" s="6">
        <v>0</v>
      </c>
      <c r="FX74" s="6">
        <v>0</v>
      </c>
      <c r="FY74" s="6">
        <v>0</v>
      </c>
      <c r="FZ74" s="66">
        <v>0</v>
      </c>
      <c r="GA74" s="6">
        <v>0</v>
      </c>
      <c r="GB74" s="6">
        <v>0</v>
      </c>
      <c r="GC74" s="6">
        <v>0</v>
      </c>
      <c r="GD74"/>
    </row>
    <row r="75" spans="1:186" s="6" customFormat="1" x14ac:dyDescent="0.2">
      <c r="A75" s="60" t="s">
        <v>1039</v>
      </c>
      <c r="B75" s="6" t="s">
        <v>157</v>
      </c>
      <c r="C75" s="6" t="s">
        <v>100</v>
      </c>
      <c r="D75" s="6" t="s">
        <v>255</v>
      </c>
      <c r="F75" s="6">
        <v>302298</v>
      </c>
      <c r="G75" s="6">
        <v>1</v>
      </c>
      <c r="J75" s="6">
        <v>1</v>
      </c>
      <c r="L75" s="6" t="s">
        <v>876</v>
      </c>
      <c r="M75" s="6" t="s">
        <v>876</v>
      </c>
      <c r="N75" s="6" t="s">
        <v>876</v>
      </c>
      <c r="O75" s="6" t="s">
        <v>876</v>
      </c>
      <c r="P75" s="6" t="s">
        <v>876</v>
      </c>
      <c r="S75" s="6">
        <v>1</v>
      </c>
      <c r="T75"/>
      <c r="U75"/>
      <c r="V75"/>
      <c r="W75"/>
      <c r="X75"/>
      <c r="Y75"/>
      <c r="Z75"/>
      <c r="AA75"/>
      <c r="AB75" s="61"/>
      <c r="AC75" s="61"/>
      <c r="AD75" s="62"/>
      <c r="AE75" s="63"/>
      <c r="AF75" s="63"/>
      <c r="AG75" s="6" t="s">
        <v>157</v>
      </c>
      <c r="AI75" s="6">
        <v>302298</v>
      </c>
      <c r="AJ75" s="6" t="s">
        <v>100</v>
      </c>
      <c r="AK75" s="3" t="s">
        <v>188</v>
      </c>
      <c r="AL75" s="3"/>
      <c r="AM75" s="6" t="s">
        <v>189</v>
      </c>
      <c r="DW75" s="19">
        <v>0</v>
      </c>
      <c r="DX75" s="19">
        <v>0</v>
      </c>
      <c r="DY75" s="19">
        <v>0</v>
      </c>
      <c r="DZ75" s="19">
        <v>0</v>
      </c>
      <c r="EA75" s="19">
        <v>0</v>
      </c>
      <c r="EB75" s="17">
        <v>11.8</v>
      </c>
      <c r="EC75" s="17">
        <v>25.6</v>
      </c>
      <c r="ED75" s="17">
        <v>9.19</v>
      </c>
      <c r="EE75" s="17">
        <v>7.34</v>
      </c>
      <c r="EF75" s="17"/>
      <c r="EG75" s="17"/>
      <c r="EH75" s="17"/>
      <c r="EI75" s="17"/>
      <c r="EJ75" s="19"/>
      <c r="EK75" s="106">
        <v>1.67</v>
      </c>
      <c r="EL75" s="106">
        <v>1.67</v>
      </c>
      <c r="EM75" s="106">
        <v>1.67</v>
      </c>
      <c r="EN75" s="106">
        <v>1.67</v>
      </c>
      <c r="EO75" s="106">
        <v>1.67</v>
      </c>
      <c r="EP75" s="106"/>
      <c r="EQ75" s="106"/>
      <c r="FB75" s="67"/>
      <c r="FI75" s="65"/>
      <c r="GD75"/>
    </row>
    <row r="76" spans="1:186" s="6" customFormat="1" x14ac:dyDescent="0.2">
      <c r="A76" s="60" t="s">
        <v>925</v>
      </c>
      <c r="B76" s="6" t="s">
        <v>377</v>
      </c>
      <c r="C76" s="6" t="s">
        <v>379</v>
      </c>
      <c r="D76" s="6" t="s">
        <v>876</v>
      </c>
      <c r="H76" s="6">
        <v>1</v>
      </c>
      <c r="I76" s="6">
        <v>1</v>
      </c>
      <c r="L76" s="6" t="s">
        <v>375</v>
      </c>
      <c r="M76" s="6" t="s">
        <v>926</v>
      </c>
      <c r="N76" s="6" t="s">
        <v>197</v>
      </c>
      <c r="O76" s="6" t="s">
        <v>671</v>
      </c>
      <c r="P76" s="6" t="s">
        <v>672</v>
      </c>
      <c r="T76">
        <v>4.5453256127562591</v>
      </c>
      <c r="U76">
        <v>2.6844536008177942</v>
      </c>
      <c r="V76">
        <v>528.32625149705586</v>
      </c>
      <c r="W76">
        <v>145.47042199672924</v>
      </c>
      <c r="X76">
        <v>0.27253539052259257</v>
      </c>
      <c r="Y76">
        <v>0.37396158938668689</v>
      </c>
      <c r="Z76" s="64">
        <v>123</v>
      </c>
      <c r="AA76" s="64"/>
      <c r="AB76" s="61"/>
      <c r="AC76" s="61"/>
      <c r="AD76" s="62"/>
      <c r="AE76" s="63"/>
      <c r="AF76" s="63"/>
      <c r="AG76" s="6" t="s">
        <v>377</v>
      </c>
      <c r="AH76" s="6" t="s">
        <v>378</v>
      </c>
      <c r="AI76" s="2"/>
      <c r="AJ76" s="3" t="s">
        <v>379</v>
      </c>
      <c r="AK76" s="3" t="s">
        <v>197</v>
      </c>
      <c r="AL76" s="6">
        <v>691</v>
      </c>
      <c r="EK76"/>
      <c r="EL76"/>
      <c r="EM76"/>
      <c r="EN76"/>
      <c r="EO76"/>
      <c r="EP76"/>
      <c r="EQ76"/>
      <c r="EW76" s="6">
        <v>129.38</v>
      </c>
      <c r="EX76" s="6">
        <v>174.28666666666666</v>
      </c>
      <c r="EY76" s="65">
        <v>42.133333333333333</v>
      </c>
      <c r="EZ76" s="6">
        <v>69.396666666666661</v>
      </c>
      <c r="FA76" s="6">
        <v>221.73333333333335</v>
      </c>
      <c r="GD76"/>
    </row>
    <row r="77" spans="1:186" s="6" customFormat="1" x14ac:dyDescent="0.2">
      <c r="A77" s="60" t="s">
        <v>991</v>
      </c>
      <c r="B77" s="6" t="s">
        <v>360</v>
      </c>
      <c r="C77" s="6" t="s">
        <v>362</v>
      </c>
      <c r="D77" s="6" t="s">
        <v>876</v>
      </c>
      <c r="I77" s="6">
        <v>1</v>
      </c>
      <c r="L77" s="6" t="s">
        <v>358</v>
      </c>
      <c r="M77" s="6" t="s">
        <v>992</v>
      </c>
      <c r="N77" s="6" t="s">
        <v>197</v>
      </c>
      <c r="O77" s="6" t="s">
        <v>671</v>
      </c>
      <c r="P77" s="6" t="s">
        <v>672</v>
      </c>
      <c r="T77">
        <v>10000</v>
      </c>
      <c r="U77">
        <v>10000</v>
      </c>
      <c r="V77">
        <v>10000</v>
      </c>
      <c r="W77">
        <v>10000</v>
      </c>
      <c r="X77">
        <v>4.3700953953309252E-2</v>
      </c>
      <c r="Y77">
        <v>6.8687502740645182E-2</v>
      </c>
      <c r="Z77"/>
      <c r="AA77"/>
      <c r="AB77" s="61"/>
      <c r="AC77" s="61"/>
      <c r="AD77" s="62"/>
      <c r="AE77" s="63"/>
      <c r="AF77" s="63"/>
      <c r="AG77" s="6" t="s">
        <v>360</v>
      </c>
      <c r="AH77" s="6" t="s">
        <v>361</v>
      </c>
      <c r="AI77" s="2"/>
      <c r="AJ77" s="3" t="s">
        <v>362</v>
      </c>
      <c r="AK77" s="3" t="s">
        <v>197</v>
      </c>
      <c r="AL77" s="6">
        <v>618</v>
      </c>
      <c r="EK77"/>
      <c r="EL77"/>
      <c r="EM77"/>
      <c r="EN77"/>
      <c r="EO77"/>
      <c r="EP77"/>
      <c r="EQ77"/>
      <c r="GD77"/>
    </row>
    <row r="78" spans="1:186" s="6" customFormat="1" x14ac:dyDescent="0.2">
      <c r="A78" s="60" t="s">
        <v>829</v>
      </c>
      <c r="B78" s="6" t="s">
        <v>588</v>
      </c>
      <c r="C78" s="6" t="s">
        <v>219</v>
      </c>
      <c r="D78" s="6" t="s">
        <v>255</v>
      </c>
      <c r="F78" s="6">
        <v>300349</v>
      </c>
      <c r="H78" s="6">
        <v>1</v>
      </c>
      <c r="I78" s="6">
        <v>1</v>
      </c>
      <c r="J78" s="6">
        <v>1</v>
      </c>
      <c r="L78" s="6" t="s">
        <v>218</v>
      </c>
      <c r="M78" s="6" t="s">
        <v>830</v>
      </c>
      <c r="N78" s="6" t="s">
        <v>201</v>
      </c>
      <c r="O78" s="6" t="s">
        <v>671</v>
      </c>
      <c r="P78" s="6" t="s">
        <v>672</v>
      </c>
      <c r="T78">
        <v>2.2869414602930651</v>
      </c>
      <c r="U78">
        <v>0.59812386308952981</v>
      </c>
      <c r="V78">
        <v>31.658586699870447</v>
      </c>
      <c r="W78">
        <v>0.93000662372601006</v>
      </c>
      <c r="X78">
        <v>0.11422009647957468</v>
      </c>
      <c r="Y78">
        <v>0.8132128586706171</v>
      </c>
      <c r="Z78" s="64">
        <v>35</v>
      </c>
      <c r="AA78" s="64"/>
      <c r="AB78" s="61"/>
      <c r="AC78" s="61"/>
      <c r="AD78" s="62"/>
      <c r="AE78" s="63"/>
      <c r="AF78" s="63"/>
      <c r="AG78" s="6" t="s">
        <v>217</v>
      </c>
      <c r="AH78" s="6" t="s">
        <v>218</v>
      </c>
      <c r="AI78" s="2"/>
      <c r="AJ78" s="3" t="s">
        <v>219</v>
      </c>
      <c r="AK78" s="3" t="s">
        <v>201</v>
      </c>
      <c r="AL78" s="6">
        <v>67</v>
      </c>
      <c r="AM78" s="6" t="s">
        <v>193</v>
      </c>
      <c r="EK78"/>
      <c r="EL78"/>
      <c r="EM78"/>
      <c r="EN78"/>
      <c r="EO78"/>
      <c r="EP78"/>
      <c r="EQ78"/>
      <c r="ER78" s="67">
        <v>1597.3133333333333</v>
      </c>
      <c r="ES78" s="6">
        <v>1226.33</v>
      </c>
      <c r="ET78" s="6">
        <v>97.309999999999988</v>
      </c>
      <c r="EU78" s="6">
        <v>100.18333333333332</v>
      </c>
      <c r="EV78" s="6">
        <v>94.563333333333333</v>
      </c>
      <c r="FB78" s="6">
        <v>0</v>
      </c>
      <c r="FC78" s="6">
        <v>0</v>
      </c>
      <c r="FD78" s="6">
        <v>0</v>
      </c>
      <c r="FE78" s="6">
        <v>0</v>
      </c>
      <c r="FF78" s="6">
        <v>0</v>
      </c>
      <c r="FG78" s="6">
        <v>0</v>
      </c>
      <c r="FH78" s="6">
        <v>0</v>
      </c>
      <c r="FI78" s="6">
        <v>0</v>
      </c>
      <c r="FJ78" s="66">
        <v>0</v>
      </c>
      <c r="FK78" s="66">
        <v>0.19136112211483647</v>
      </c>
      <c r="FL78" s="66">
        <v>0</v>
      </c>
      <c r="FM78" s="66">
        <v>0</v>
      </c>
      <c r="FN78" s="66">
        <v>0</v>
      </c>
      <c r="FO78" s="66">
        <v>0.20887500000000003</v>
      </c>
      <c r="FP78" s="6">
        <v>0</v>
      </c>
      <c r="FQ78" s="6">
        <v>0</v>
      </c>
      <c r="FR78" s="66">
        <v>0</v>
      </c>
      <c r="FS78" s="6">
        <v>0.45523950617283948</v>
      </c>
      <c r="FT78" s="6">
        <v>0</v>
      </c>
      <c r="FU78" s="6">
        <v>0</v>
      </c>
      <c r="FV78" s="6">
        <v>0</v>
      </c>
      <c r="FW78" s="6">
        <v>0.19380555555555551</v>
      </c>
      <c r="FX78" s="6">
        <v>0</v>
      </c>
      <c r="FY78" s="6">
        <v>0</v>
      </c>
      <c r="FZ78" s="66">
        <v>0</v>
      </c>
      <c r="GA78" s="6">
        <v>0</v>
      </c>
      <c r="GB78" s="6">
        <v>0</v>
      </c>
      <c r="GC78" s="6">
        <v>0</v>
      </c>
      <c r="GD78"/>
    </row>
    <row r="79" spans="1:186" s="6" customFormat="1" x14ac:dyDescent="0.2">
      <c r="A79" s="60" t="s">
        <v>827</v>
      </c>
      <c r="B79" s="6" t="s">
        <v>589</v>
      </c>
      <c r="C79" s="6" t="s">
        <v>223</v>
      </c>
      <c r="D79" s="6" t="s">
        <v>255</v>
      </c>
      <c r="F79" s="6">
        <v>300348</v>
      </c>
      <c r="H79" s="6">
        <v>1</v>
      </c>
      <c r="I79" s="6">
        <v>1</v>
      </c>
      <c r="J79" s="6">
        <v>1</v>
      </c>
      <c r="L79" s="6" t="s">
        <v>222</v>
      </c>
      <c r="M79" s="6" t="s">
        <v>828</v>
      </c>
      <c r="N79" s="6" t="s">
        <v>201</v>
      </c>
      <c r="O79" s="6" t="s">
        <v>671</v>
      </c>
      <c r="P79" s="6" t="s">
        <v>672</v>
      </c>
      <c r="T79">
        <v>7.2721857160792371</v>
      </c>
      <c r="U79">
        <v>0.65497307769023372</v>
      </c>
      <c r="V79">
        <v>58.322442974873553</v>
      </c>
      <c r="W79">
        <v>3.71692103295972</v>
      </c>
      <c r="X79">
        <v>3.583339769705423E-2</v>
      </c>
      <c r="Y79">
        <v>0.41260053035429606</v>
      </c>
      <c r="Z79" s="64">
        <v>82</v>
      </c>
      <c r="AA79" s="64"/>
      <c r="AB79" s="61"/>
      <c r="AC79" s="61"/>
      <c r="AD79" s="62"/>
      <c r="AE79" s="63"/>
      <c r="AF79" s="63"/>
      <c r="AG79" s="6" t="s">
        <v>221</v>
      </c>
      <c r="AH79" s="6" t="s">
        <v>222</v>
      </c>
      <c r="AI79" s="2"/>
      <c r="AJ79" s="3" t="s">
        <v>223</v>
      </c>
      <c r="AK79" s="3" t="s">
        <v>201</v>
      </c>
      <c r="AL79" s="6">
        <v>70</v>
      </c>
      <c r="AM79" s="6" t="s">
        <v>193</v>
      </c>
      <c r="EK79"/>
      <c r="EL79"/>
      <c r="EM79"/>
      <c r="EN79"/>
      <c r="EO79"/>
      <c r="EP79"/>
      <c r="EQ79"/>
      <c r="ER79" s="67">
        <v>2415.1766666666667</v>
      </c>
      <c r="ES79" s="6">
        <v>1608.8366666666668</v>
      </c>
      <c r="ET79" s="6">
        <v>128.79333333333332</v>
      </c>
      <c r="EU79" s="6">
        <v>128.78166666666667</v>
      </c>
      <c r="EV79" s="6">
        <v>61.064999999999998</v>
      </c>
      <c r="FB79" s="6">
        <v>0</v>
      </c>
      <c r="FC79" s="6">
        <v>0</v>
      </c>
      <c r="FD79" s="6">
        <v>0</v>
      </c>
      <c r="FE79" s="6">
        <v>0</v>
      </c>
      <c r="FF79" s="6">
        <v>0</v>
      </c>
      <c r="FG79" s="6">
        <v>0.77550000000000008</v>
      </c>
      <c r="FH79" s="6">
        <v>0</v>
      </c>
      <c r="FI79" s="6">
        <v>0</v>
      </c>
      <c r="FJ79" s="66">
        <v>0</v>
      </c>
      <c r="FK79" s="66">
        <v>0.28027186678863569</v>
      </c>
      <c r="FL79" s="66">
        <v>0</v>
      </c>
      <c r="FM79" s="66">
        <v>0</v>
      </c>
      <c r="FN79" s="66">
        <v>0</v>
      </c>
      <c r="FO79" s="66">
        <v>0.45074722222222224</v>
      </c>
      <c r="FP79" s="6">
        <v>0</v>
      </c>
      <c r="FQ79" s="6">
        <v>0</v>
      </c>
      <c r="FR79" s="66">
        <v>0</v>
      </c>
      <c r="FS79" s="6">
        <v>0.34964197530864199</v>
      </c>
      <c r="FT79" s="6">
        <v>0</v>
      </c>
      <c r="FU79" s="6">
        <v>0</v>
      </c>
      <c r="FV79" s="6">
        <v>0</v>
      </c>
      <c r="FW79" s="6">
        <v>0.15163555555555552</v>
      </c>
      <c r="FX79" s="6">
        <v>0</v>
      </c>
      <c r="FY79" s="6">
        <v>0</v>
      </c>
      <c r="FZ79" s="66">
        <v>0</v>
      </c>
      <c r="GA79" s="6">
        <v>0.12381777777777775</v>
      </c>
      <c r="GB79" s="6">
        <v>0</v>
      </c>
      <c r="GC79" s="6">
        <v>0</v>
      </c>
      <c r="GD79"/>
    </row>
    <row r="80" spans="1:186" s="6" customFormat="1" x14ac:dyDescent="0.2">
      <c r="A80" s="60" t="s">
        <v>902</v>
      </c>
      <c r="B80" s="6" t="s">
        <v>639</v>
      </c>
      <c r="C80" s="6" t="s">
        <v>286</v>
      </c>
      <c r="D80" s="6" t="s">
        <v>876</v>
      </c>
      <c r="H80" s="6">
        <v>1</v>
      </c>
      <c r="I80" s="6">
        <v>1</v>
      </c>
      <c r="L80" s="6" t="s">
        <v>285</v>
      </c>
      <c r="M80" s="6" t="s">
        <v>903</v>
      </c>
      <c r="N80" s="6" t="s">
        <v>270</v>
      </c>
      <c r="O80" s="6" t="s">
        <v>671</v>
      </c>
      <c r="P80" s="6" t="s">
        <v>672</v>
      </c>
      <c r="T80">
        <v>412.46172050058391</v>
      </c>
      <c r="U80">
        <v>10000</v>
      </c>
      <c r="V80">
        <v>10000</v>
      </c>
      <c r="W80">
        <v>10000</v>
      </c>
      <c r="X80">
        <v>3.1249876128203503E-2</v>
      </c>
      <c r="Y80">
        <v>8.2984437332681585E-2</v>
      </c>
      <c r="Z80" s="84">
        <v>136</v>
      </c>
      <c r="AA80" s="84"/>
      <c r="AB80" s="61"/>
      <c r="AC80" s="61"/>
      <c r="AD80" s="62"/>
      <c r="AE80" s="63"/>
      <c r="AF80" s="63"/>
      <c r="AG80" s="6" t="s">
        <v>284</v>
      </c>
      <c r="AH80" s="6" t="s">
        <v>285</v>
      </c>
      <c r="AI80" s="2"/>
      <c r="AJ80" s="3" t="s">
        <v>286</v>
      </c>
      <c r="AK80" s="3" t="s">
        <v>270</v>
      </c>
      <c r="AL80" s="6">
        <v>406</v>
      </c>
      <c r="AM80" s="6" t="s">
        <v>193</v>
      </c>
      <c r="EK80"/>
      <c r="EL80"/>
      <c r="EM80"/>
      <c r="EN80"/>
      <c r="EO80"/>
      <c r="EP80"/>
      <c r="EQ80"/>
      <c r="FB80" s="6">
        <v>0</v>
      </c>
      <c r="FC80" s="6">
        <v>0</v>
      </c>
      <c r="FD80" s="6">
        <v>0</v>
      </c>
      <c r="FE80" s="6">
        <v>0</v>
      </c>
      <c r="FF80" s="6">
        <v>0</v>
      </c>
      <c r="FG80" s="6">
        <v>0</v>
      </c>
      <c r="FH80" s="6">
        <v>0</v>
      </c>
      <c r="FI80" s="6">
        <v>0</v>
      </c>
      <c r="FJ80" s="66">
        <v>0</v>
      </c>
      <c r="FK80" s="66">
        <v>0</v>
      </c>
      <c r="FL80" s="66">
        <v>0</v>
      </c>
      <c r="FM80" s="66">
        <v>0</v>
      </c>
      <c r="FN80" s="66">
        <v>0</v>
      </c>
      <c r="FO80" s="66">
        <v>0</v>
      </c>
      <c r="FP80" s="6">
        <v>0</v>
      </c>
      <c r="FQ80" s="6">
        <v>0</v>
      </c>
      <c r="FR80" s="66">
        <v>0</v>
      </c>
      <c r="FS80" s="6">
        <v>0</v>
      </c>
      <c r="FT80" s="6">
        <v>0</v>
      </c>
      <c r="FU80" s="6">
        <v>0</v>
      </c>
      <c r="FV80" s="6">
        <v>0</v>
      </c>
      <c r="FW80" s="6">
        <v>0</v>
      </c>
      <c r="FX80" s="6">
        <v>0</v>
      </c>
      <c r="FY80" s="6">
        <v>0</v>
      </c>
      <c r="FZ80" s="66">
        <v>0</v>
      </c>
      <c r="GA80" s="6">
        <v>0</v>
      </c>
      <c r="GB80" s="6">
        <v>0</v>
      </c>
      <c r="GC80" s="6">
        <v>0</v>
      </c>
      <c r="GD80"/>
    </row>
    <row r="81" spans="1:186" s="6" customFormat="1" x14ac:dyDescent="0.2">
      <c r="A81" s="60" t="s">
        <v>985</v>
      </c>
      <c r="B81" s="6" t="s">
        <v>986</v>
      </c>
      <c r="C81" s="6" t="s">
        <v>344</v>
      </c>
      <c r="D81" s="6" t="s">
        <v>876</v>
      </c>
      <c r="I81" s="6">
        <v>1</v>
      </c>
      <c r="L81" s="6" t="s">
        <v>340</v>
      </c>
      <c r="M81" s="6" t="s">
        <v>987</v>
      </c>
      <c r="N81" s="6" t="s">
        <v>270</v>
      </c>
      <c r="O81" s="6" t="s">
        <v>671</v>
      </c>
      <c r="P81" s="6" t="s">
        <v>672</v>
      </c>
      <c r="T81">
        <v>54.896018807632693</v>
      </c>
      <c r="U81">
        <v>53.055285887600817</v>
      </c>
      <c r="V81">
        <v>60.14418476982992</v>
      </c>
      <c r="W81">
        <v>58.259405458145402</v>
      </c>
      <c r="X81">
        <v>5.6456105648736196E-2</v>
      </c>
      <c r="Y81">
        <v>0.1069170465121114</v>
      </c>
      <c r="Z81"/>
      <c r="AA81"/>
      <c r="AB81" s="61"/>
      <c r="AC81" s="61"/>
      <c r="AD81" s="62"/>
      <c r="AE81" s="63"/>
      <c r="AF81" s="63"/>
      <c r="AG81" s="6" t="s">
        <v>342</v>
      </c>
      <c r="AH81" s="6" t="s">
        <v>343</v>
      </c>
      <c r="AI81" s="2"/>
      <c r="AJ81" s="3" t="s">
        <v>344</v>
      </c>
      <c r="AK81" s="3" t="s">
        <v>270</v>
      </c>
      <c r="AL81" s="6">
        <v>517</v>
      </c>
      <c r="EB81" s="15"/>
      <c r="EC81" s="15"/>
      <c r="ED81" s="15"/>
      <c r="EE81" s="15"/>
      <c r="EF81" s="15"/>
      <c r="EG81" s="15"/>
      <c r="EH81" s="15"/>
      <c r="EI81" s="15"/>
      <c r="EK81"/>
      <c r="EL81"/>
      <c r="EM81"/>
      <c r="EN81"/>
      <c r="EO81"/>
      <c r="EP81"/>
      <c r="EQ81"/>
      <c r="FB81" s="86"/>
      <c r="GD81"/>
    </row>
    <row r="82" spans="1:186" s="6" customFormat="1" x14ac:dyDescent="0.2">
      <c r="A82" s="60" t="s">
        <v>1043</v>
      </c>
      <c r="B82" s="6" t="s">
        <v>1044</v>
      </c>
      <c r="C82" s="6" t="s">
        <v>70</v>
      </c>
      <c r="D82" s="6" t="s">
        <v>805</v>
      </c>
      <c r="F82" s="6">
        <v>300337</v>
      </c>
      <c r="H82" s="6">
        <v>1</v>
      </c>
      <c r="J82" s="6">
        <v>1</v>
      </c>
      <c r="L82" s="6" t="s">
        <v>876</v>
      </c>
      <c r="M82" s="6" t="s">
        <v>868</v>
      </c>
      <c r="N82" s="6" t="s">
        <v>192</v>
      </c>
      <c r="O82" s="6" t="s">
        <v>876</v>
      </c>
      <c r="P82" s="6" t="s">
        <v>876</v>
      </c>
      <c r="T82"/>
      <c r="U82"/>
      <c r="V82"/>
      <c r="W82"/>
      <c r="X82"/>
      <c r="Y82"/>
      <c r="Z82" s="64">
        <v>97</v>
      </c>
      <c r="AA82" s="64"/>
      <c r="AB82" s="61"/>
      <c r="AC82" s="61"/>
      <c r="AD82" s="62"/>
      <c r="AE82" s="63"/>
      <c r="AF82" s="63"/>
      <c r="AG82" s="7" t="s">
        <v>561</v>
      </c>
      <c r="AH82" s="7"/>
      <c r="AI82" s="7"/>
      <c r="AJ82" s="4" t="s">
        <v>70</v>
      </c>
      <c r="AK82" s="3" t="s">
        <v>192</v>
      </c>
      <c r="AM82" s="6" t="s">
        <v>193</v>
      </c>
      <c r="CT82" s="15">
        <v>34</v>
      </c>
      <c r="CU82" s="15">
        <v>46</v>
      </c>
      <c r="CV82" s="15">
        <v>62</v>
      </c>
      <c r="CW82" s="15">
        <v>36</v>
      </c>
      <c r="CX82" s="15">
        <v>43</v>
      </c>
      <c r="CY82" s="15">
        <v>40</v>
      </c>
      <c r="CZ82" s="15">
        <v>62</v>
      </c>
      <c r="DA82" s="15">
        <v>2100</v>
      </c>
      <c r="DB82" s="15">
        <v>100</v>
      </c>
      <c r="DC82" s="15">
        <v>120</v>
      </c>
      <c r="DD82" s="15">
        <v>140</v>
      </c>
      <c r="DE82" s="15">
        <v>2200</v>
      </c>
      <c r="DF82" s="15">
        <v>140</v>
      </c>
      <c r="DG82" s="15">
        <v>160</v>
      </c>
      <c r="DH82" s="15">
        <v>99</v>
      </c>
      <c r="DI82" s="15">
        <v>150</v>
      </c>
      <c r="DJ82" s="15">
        <v>150</v>
      </c>
      <c r="DK82" s="15">
        <v>960</v>
      </c>
      <c r="DL82" s="15">
        <v>100</v>
      </c>
      <c r="DM82" s="15">
        <v>380</v>
      </c>
      <c r="DN82" s="16">
        <v>260</v>
      </c>
      <c r="DO82" s="16">
        <v>75</v>
      </c>
      <c r="DP82" s="16">
        <v>59</v>
      </c>
      <c r="DQ82" s="16">
        <v>200</v>
      </c>
      <c r="DS82" s="16">
        <v>140</v>
      </c>
      <c r="DT82" s="16">
        <v>95</v>
      </c>
      <c r="DU82" s="16">
        <v>170</v>
      </c>
      <c r="DV82" s="16">
        <v>77</v>
      </c>
      <c r="DW82" s="15"/>
      <c r="DX82" s="15"/>
      <c r="DY82" s="15"/>
      <c r="DZ82" s="15"/>
      <c r="EA82" s="15"/>
      <c r="EJ82" s="15"/>
      <c r="EK82"/>
      <c r="EL82"/>
      <c r="EM82"/>
      <c r="EN82"/>
      <c r="EO82"/>
      <c r="EP82"/>
      <c r="EQ82"/>
      <c r="ER82" s="65">
        <v>7568.2366666666667</v>
      </c>
      <c r="ES82" s="6">
        <v>4914.2133333333331</v>
      </c>
      <c r="ET82" s="6">
        <v>2956.0633333333335</v>
      </c>
      <c r="EU82" s="6">
        <v>2658.5466666666666</v>
      </c>
      <c r="EV82" s="6">
        <v>3649.4566666666665</v>
      </c>
      <c r="FB82" s="6">
        <v>0</v>
      </c>
      <c r="FC82" s="6">
        <v>0</v>
      </c>
      <c r="FD82" s="6">
        <v>2.0396825396825397E-3</v>
      </c>
      <c r="FE82" s="6">
        <v>0</v>
      </c>
      <c r="FF82" s="6">
        <v>0</v>
      </c>
      <c r="FG82" s="6">
        <v>0.41086904761904763</v>
      </c>
      <c r="FH82" s="6">
        <v>0.27021269841269835</v>
      </c>
      <c r="FI82" s="6">
        <v>0.36883015873015867</v>
      </c>
      <c r="FJ82" s="66">
        <v>0</v>
      </c>
      <c r="FK82" s="66">
        <v>0.14878819194209122</v>
      </c>
      <c r="FL82" s="66">
        <v>0.32327300361231998</v>
      </c>
      <c r="FM82" s="66">
        <v>0.18363310344827588</v>
      </c>
      <c r="FN82" s="66">
        <v>0</v>
      </c>
      <c r="FO82" s="66">
        <v>0.12719648148148147</v>
      </c>
      <c r="FP82" s="6">
        <v>3.0722144444444446</v>
      </c>
      <c r="FQ82" s="6">
        <v>2.3699999999999999E-2</v>
      </c>
      <c r="FR82" s="66">
        <v>0</v>
      </c>
      <c r="FS82" s="6">
        <v>0.2088395061728395</v>
      </c>
      <c r="FT82" s="6">
        <v>4.5335133333333335</v>
      </c>
      <c r="FU82" s="6">
        <v>2.4640000000000002E-2</v>
      </c>
      <c r="FV82" s="6">
        <v>0</v>
      </c>
      <c r="FW82" s="6">
        <v>6.0555555555555543E-2</v>
      </c>
      <c r="FX82" s="6">
        <v>6.0197000000000003</v>
      </c>
      <c r="FY82" s="6">
        <v>1.6539999999999999E-2</v>
      </c>
      <c r="FZ82" s="66">
        <v>0</v>
      </c>
      <c r="GA82" s="6">
        <v>5.4373333333333336E-2</v>
      </c>
      <c r="GB82" s="6">
        <v>0.75149333333333335</v>
      </c>
      <c r="GC82" s="6">
        <v>1.5326666666666667E-2</v>
      </c>
      <c r="GD82"/>
    </row>
    <row r="83" spans="1:186" s="6" customFormat="1" x14ac:dyDescent="0.2">
      <c r="A83" s="60" t="s">
        <v>908</v>
      </c>
      <c r="B83" s="6" t="s">
        <v>312</v>
      </c>
      <c r="C83" s="6" t="s">
        <v>314</v>
      </c>
      <c r="D83" s="6" t="s">
        <v>876</v>
      </c>
      <c r="H83" s="6">
        <v>1</v>
      </c>
      <c r="I83" s="6">
        <v>1</v>
      </c>
      <c r="L83" s="6" t="s">
        <v>311</v>
      </c>
      <c r="M83" s="6" t="s">
        <v>909</v>
      </c>
      <c r="N83" s="6" t="s">
        <v>197</v>
      </c>
      <c r="O83" s="6" t="s">
        <v>671</v>
      </c>
      <c r="P83" s="6" t="s">
        <v>672</v>
      </c>
      <c r="T83">
        <v>6.7699742886425094</v>
      </c>
      <c r="U83">
        <v>3.0694985223329363</v>
      </c>
      <c r="V83">
        <v>15.866550839896993</v>
      </c>
      <c r="W83">
        <v>8.1047491647600367</v>
      </c>
      <c r="X83">
        <v>0.70793137264187744</v>
      </c>
      <c r="Y83">
        <v>0.8334511730276758</v>
      </c>
      <c r="Z83" s="84">
        <v>156</v>
      </c>
      <c r="AA83" s="84"/>
      <c r="AB83" s="61"/>
      <c r="AC83" s="61"/>
      <c r="AD83" s="62"/>
      <c r="AE83" s="63"/>
      <c r="AF83" s="63"/>
      <c r="AG83" s="6" t="s">
        <v>312</v>
      </c>
      <c r="AH83" s="6" t="s">
        <v>313</v>
      </c>
      <c r="AI83" s="2"/>
      <c r="AJ83" s="3" t="s">
        <v>314</v>
      </c>
      <c r="AK83" s="3" t="s">
        <v>197</v>
      </c>
      <c r="AL83" s="6">
        <v>500</v>
      </c>
      <c r="EB83" s="19"/>
      <c r="EC83" s="19"/>
      <c r="ED83" s="19"/>
      <c r="EE83" s="19"/>
      <c r="EF83" s="19"/>
      <c r="EG83" s="19"/>
      <c r="EH83" s="19"/>
      <c r="EI83" s="19"/>
      <c r="EK83"/>
      <c r="EL83"/>
      <c r="EM83"/>
      <c r="EN83"/>
      <c r="EO83"/>
      <c r="EP83"/>
      <c r="EQ83"/>
      <c r="EW83" s="6">
        <v>120.39333333333333</v>
      </c>
      <c r="EX83" s="6">
        <v>87.93</v>
      </c>
      <c r="EY83" s="65">
        <v>36.159999999999997</v>
      </c>
      <c r="EZ83" s="6">
        <v>44.196666666666658</v>
      </c>
      <c r="FA83" s="6">
        <v>104.80666666666666</v>
      </c>
      <c r="FB83" s="67"/>
      <c r="FI83" s="65"/>
      <c r="GD83"/>
    </row>
    <row r="84" spans="1:186" s="26" customFormat="1" x14ac:dyDescent="0.2">
      <c r="A84" s="68" t="s">
        <v>754</v>
      </c>
      <c r="B84" s="26" t="s">
        <v>129</v>
      </c>
      <c r="C84" s="26" t="s">
        <v>46</v>
      </c>
      <c r="D84" s="26" t="s">
        <v>255</v>
      </c>
      <c r="F84" s="26">
        <v>300391</v>
      </c>
      <c r="G84" s="26">
        <v>1</v>
      </c>
      <c r="H84" s="26">
        <v>1</v>
      </c>
      <c r="I84" s="26">
        <v>1</v>
      </c>
      <c r="J84" s="26">
        <v>1</v>
      </c>
      <c r="L84" s="26" t="s">
        <v>529</v>
      </c>
      <c r="M84" s="26" t="s">
        <v>755</v>
      </c>
      <c r="N84" s="26" t="s">
        <v>427</v>
      </c>
      <c r="O84" s="26" t="s">
        <v>671</v>
      </c>
      <c r="P84" s="26" t="s">
        <v>672</v>
      </c>
      <c r="T84" s="39">
        <v>12.130119072749586</v>
      </c>
      <c r="U84" s="39">
        <v>6.0687254959325436</v>
      </c>
      <c r="V84" s="39">
        <v>20.64871493978475</v>
      </c>
      <c r="W84" s="39">
        <v>10.197014467420919</v>
      </c>
      <c r="X84" s="39">
        <v>0.53878260254434673</v>
      </c>
      <c r="Y84" s="39">
        <v>0.76659426164699518</v>
      </c>
      <c r="Z84" s="69">
        <v>133</v>
      </c>
      <c r="AA84" s="69"/>
      <c r="AB84" s="56">
        <v>6.5500000000000006E-5</v>
      </c>
      <c r="AC84" s="57">
        <v>2.8E-3</v>
      </c>
      <c r="AD84" s="58">
        <v>3.09</v>
      </c>
      <c r="AE84" s="58">
        <v>29.7</v>
      </c>
      <c r="AF84" s="58">
        <v>30.7</v>
      </c>
      <c r="AG84" s="26" t="s">
        <v>45</v>
      </c>
      <c r="AH84" s="26" t="s">
        <v>529</v>
      </c>
      <c r="AI84" s="27">
        <v>300391</v>
      </c>
      <c r="AJ84" s="28" t="s">
        <v>46</v>
      </c>
      <c r="AK84" s="28" t="s">
        <v>427</v>
      </c>
      <c r="AL84" s="26">
        <v>2774</v>
      </c>
      <c r="AM84" s="26" t="s">
        <v>246</v>
      </c>
      <c r="AO84" s="32">
        <v>644.85</v>
      </c>
      <c r="AP84" s="32">
        <v>298.67</v>
      </c>
      <c r="AQ84" s="32">
        <v>1837.49</v>
      </c>
      <c r="AR84" s="32">
        <v>2283.1999999999998</v>
      </c>
      <c r="AS84" s="32">
        <v>2151.5</v>
      </c>
      <c r="AT84" s="32">
        <v>1307.5</v>
      </c>
      <c r="AU84" s="32">
        <v>570.22</v>
      </c>
      <c r="AV84" s="32">
        <v>1667.92</v>
      </c>
      <c r="AW84" s="32">
        <v>1268.3699999999999</v>
      </c>
      <c r="AX84" s="32">
        <v>1516.08</v>
      </c>
      <c r="AY84" s="32">
        <v>1516.08</v>
      </c>
      <c r="AZ84" s="32">
        <v>605.74</v>
      </c>
      <c r="BA84" s="33">
        <v>527.38196700000003</v>
      </c>
      <c r="BB84" s="33">
        <v>334.3855676</v>
      </c>
      <c r="BC84" s="33">
        <v>910.89524040000003</v>
      </c>
      <c r="BD84" s="33">
        <v>945.0856576000001</v>
      </c>
      <c r="BE84" s="33">
        <v>991.77802020000001</v>
      </c>
      <c r="BF84" s="33">
        <v>743.85834799999998</v>
      </c>
      <c r="BG84" s="33">
        <v>631.64171279999994</v>
      </c>
      <c r="BH84" s="33">
        <v>928.70587920000003</v>
      </c>
      <c r="BI84" s="33">
        <v>822.6911394</v>
      </c>
      <c r="BJ84" s="33">
        <v>899.93208959999981</v>
      </c>
      <c r="BK84" s="33">
        <v>902.11761239999998</v>
      </c>
      <c r="BL84" s="33">
        <v>763.41907000000003</v>
      </c>
      <c r="BM84" s="33">
        <v>444.21097560000004</v>
      </c>
      <c r="BN84" s="34">
        <v>906.47252539999999</v>
      </c>
      <c r="BO84" s="34">
        <v>1115.1754068</v>
      </c>
      <c r="BP84" s="34">
        <v>1254.0041206000001</v>
      </c>
      <c r="BQ84" s="34">
        <v>975.25969440000017</v>
      </c>
      <c r="BR84" s="34">
        <v>1659.209838</v>
      </c>
      <c r="BS84" s="34">
        <v>1148.7889212</v>
      </c>
      <c r="BT84" s="34">
        <v>1309.6147679999999</v>
      </c>
      <c r="BU84" s="34">
        <v>1259.6353369999999</v>
      </c>
      <c r="BV84" s="34">
        <v>1144.7639792</v>
      </c>
      <c r="BW84" s="34">
        <v>645.60844799999995</v>
      </c>
      <c r="BX84" s="34">
        <v>530.7320820000001</v>
      </c>
      <c r="BY84" s="34">
        <v>1889.8384860000001</v>
      </c>
      <c r="BZ84" s="34">
        <v>2626.4355803999997</v>
      </c>
      <c r="CA84" s="34">
        <v>1478.355636</v>
      </c>
      <c r="CB84" s="34">
        <v>2175.262064</v>
      </c>
      <c r="CC84" s="34">
        <v>1898.0959806000001</v>
      </c>
      <c r="CD84" s="34">
        <v>1028.7281249999999</v>
      </c>
      <c r="CE84" s="34">
        <v>1589.2856567999997</v>
      </c>
      <c r="CF84" s="34">
        <v>342.68547599999999</v>
      </c>
      <c r="CG84" s="34">
        <v>1911.240192</v>
      </c>
      <c r="CH84" s="34">
        <v>1963.0772007999999</v>
      </c>
      <c r="CI84" s="34">
        <v>3385.8933184000002</v>
      </c>
      <c r="CJ84" s="34">
        <v>1018.5139110000001</v>
      </c>
      <c r="CK84" s="34">
        <v>1680.0348809999996</v>
      </c>
      <c r="CL84" s="34">
        <v>375.02942399999995</v>
      </c>
      <c r="CM84" s="34">
        <v>210.14262800000003</v>
      </c>
      <c r="CN84" s="34">
        <v>667.57000679999999</v>
      </c>
      <c r="CO84" s="34">
        <v>622.14779440000007</v>
      </c>
      <c r="CP84" s="34">
        <v>305.43069500000001</v>
      </c>
      <c r="CQ84" s="34">
        <v>934.949792</v>
      </c>
      <c r="CR84" s="34">
        <v>516.37431559999993</v>
      </c>
      <c r="CS84" s="34">
        <v>536.69569420000005</v>
      </c>
      <c r="CT84" s="35">
        <v>14.679277600000001</v>
      </c>
      <c r="CU84" s="35">
        <v>206.96470200000002</v>
      </c>
      <c r="CV84" s="35">
        <v>21.2243402</v>
      </c>
      <c r="CW84" s="35">
        <v>0</v>
      </c>
      <c r="CX84" s="35">
        <v>0</v>
      </c>
      <c r="CY84" s="35">
        <v>227.11440240000002</v>
      </c>
      <c r="CZ84" s="35">
        <v>0</v>
      </c>
      <c r="DA84" s="35">
        <v>2099.8769205999997</v>
      </c>
      <c r="DB84" s="35">
        <v>0</v>
      </c>
      <c r="DC84" s="35">
        <v>2324.2847999999999</v>
      </c>
      <c r="DD84" s="35">
        <v>118.757307</v>
      </c>
      <c r="DE84" s="35">
        <v>0</v>
      </c>
      <c r="DF84" s="35">
        <v>2417.5231290000002</v>
      </c>
      <c r="DG84" s="35">
        <v>156.73223040000002</v>
      </c>
      <c r="DH84" s="35">
        <v>98.120003400000002</v>
      </c>
      <c r="DI84" s="35">
        <v>2676.4875000000002</v>
      </c>
      <c r="DJ84" s="35">
        <v>165.50451959999998</v>
      </c>
      <c r="DK84" s="35">
        <v>802.97803320000003</v>
      </c>
      <c r="DL84" s="35">
        <v>162.87299200000001</v>
      </c>
      <c r="DM84" s="35">
        <v>0</v>
      </c>
      <c r="DN84" s="35">
        <v>0</v>
      </c>
      <c r="DO84" s="35">
        <v>920.79153120000001</v>
      </c>
      <c r="DP84" s="35">
        <v>115.47519</v>
      </c>
      <c r="DQ84" s="35">
        <v>0</v>
      </c>
      <c r="DR84" s="35">
        <v>5369.9746859999996</v>
      </c>
      <c r="DS84" s="35">
        <v>96.281452399999992</v>
      </c>
      <c r="DT84" s="35">
        <v>99.160014000000004</v>
      </c>
      <c r="DU84" s="35">
        <v>5099.9923561999994</v>
      </c>
      <c r="DV84" s="35">
        <v>72.50431979999999</v>
      </c>
      <c r="DW84" s="36">
        <v>1100</v>
      </c>
      <c r="DX84" s="36">
        <v>1200</v>
      </c>
      <c r="DY84" s="36">
        <v>1300</v>
      </c>
      <c r="DZ84" s="36">
        <v>1400</v>
      </c>
      <c r="EA84" s="36">
        <v>1000</v>
      </c>
      <c r="EB84" s="29">
        <v>2050</v>
      </c>
      <c r="EC84" s="29">
        <v>3200</v>
      </c>
      <c r="ED84" s="29">
        <v>1140</v>
      </c>
      <c r="EE84" s="29">
        <v>896</v>
      </c>
      <c r="EF84" s="26">
        <v>0</v>
      </c>
      <c r="EG84" s="30">
        <v>294</v>
      </c>
      <c r="EH84" s="30">
        <v>294</v>
      </c>
      <c r="EI84" s="26">
        <v>294</v>
      </c>
      <c r="EJ84" s="26">
        <v>294</v>
      </c>
      <c r="EK84" s="108">
        <v>196</v>
      </c>
      <c r="EL84" s="108">
        <v>137</v>
      </c>
      <c r="EM84" s="108">
        <v>85.8</v>
      </c>
      <c r="EN84" s="108">
        <v>85</v>
      </c>
      <c r="EO84" s="108">
        <v>96.3</v>
      </c>
      <c r="EP84" s="108"/>
      <c r="EQ84" s="108"/>
      <c r="ER84" s="73">
        <v>24.429999999999996</v>
      </c>
      <c r="ES84" s="30">
        <v>40.526666666666664</v>
      </c>
      <c r="ET84" s="26">
        <v>1.1933333333333334</v>
      </c>
      <c r="EU84" s="26">
        <v>56.54666666666666</v>
      </c>
      <c r="EV84" s="26">
        <v>27.49</v>
      </c>
      <c r="FB84" s="26">
        <v>0</v>
      </c>
      <c r="FC84" s="26">
        <v>0.20023809523809524</v>
      </c>
      <c r="FD84" s="26">
        <v>0</v>
      </c>
      <c r="FE84" s="26">
        <v>0</v>
      </c>
      <c r="FF84" s="26">
        <v>0</v>
      </c>
      <c r="FG84" s="26">
        <v>0.40472619047619052</v>
      </c>
      <c r="FH84" s="26">
        <v>0</v>
      </c>
      <c r="FI84" s="26">
        <v>0</v>
      </c>
      <c r="FJ84" s="74">
        <v>0</v>
      </c>
      <c r="FK84" s="74">
        <v>0.67018979437616844</v>
      </c>
      <c r="FL84" s="74">
        <v>0</v>
      </c>
      <c r="FM84" s="74">
        <v>0</v>
      </c>
      <c r="FN84" s="74">
        <v>0</v>
      </c>
      <c r="FO84" s="74">
        <v>0.72472222222222238</v>
      </c>
      <c r="FP84" s="26">
        <v>0</v>
      </c>
      <c r="FQ84" s="26">
        <v>0</v>
      </c>
      <c r="FR84" s="74">
        <v>0</v>
      </c>
      <c r="FS84" s="26">
        <v>0.80622222222222228</v>
      </c>
      <c r="FT84" s="26">
        <v>0</v>
      </c>
      <c r="FU84" s="26">
        <v>0</v>
      </c>
      <c r="FV84" s="26">
        <v>0</v>
      </c>
      <c r="FW84" s="26">
        <v>0.31347222222222215</v>
      </c>
      <c r="FX84" s="26">
        <v>0</v>
      </c>
      <c r="FY84" s="26">
        <v>0</v>
      </c>
      <c r="FZ84" s="74">
        <v>0</v>
      </c>
      <c r="GA84" s="26">
        <v>0</v>
      </c>
      <c r="GB84" s="26">
        <v>0</v>
      </c>
      <c r="GC84" s="26">
        <v>0</v>
      </c>
      <c r="GD84"/>
    </row>
    <row r="85" spans="1:186" s="6" customFormat="1" x14ac:dyDescent="0.2">
      <c r="A85" s="60" t="s">
        <v>930</v>
      </c>
      <c r="B85" s="6" t="s">
        <v>414</v>
      </c>
      <c r="C85" s="6" t="s">
        <v>416</v>
      </c>
      <c r="D85" s="6" t="s">
        <v>876</v>
      </c>
      <c r="H85" s="6">
        <v>1</v>
      </c>
      <c r="I85" s="6">
        <v>1</v>
      </c>
      <c r="L85" s="6" t="s">
        <v>931</v>
      </c>
      <c r="M85" s="6" t="s">
        <v>932</v>
      </c>
      <c r="N85" s="6" t="s">
        <v>197</v>
      </c>
      <c r="O85" s="6" t="s">
        <v>667</v>
      </c>
      <c r="P85" s="6" t="s">
        <v>668</v>
      </c>
      <c r="T85">
        <v>4.0566929864034051</v>
      </c>
      <c r="U85">
        <v>0.69633398136723168</v>
      </c>
      <c r="V85">
        <v>6.1003155413698193</v>
      </c>
      <c r="W85">
        <v>3.2841198849081326</v>
      </c>
      <c r="X85">
        <v>0.89040043081967013</v>
      </c>
      <c r="Y85">
        <v>0.92987440416393907</v>
      </c>
      <c r="Z85" s="64">
        <v>75</v>
      </c>
      <c r="AA85" s="64"/>
      <c r="AB85" s="61"/>
      <c r="AC85" s="61"/>
      <c r="AD85" s="62"/>
      <c r="AE85" s="63"/>
      <c r="AF85" s="63"/>
      <c r="AG85" s="6" t="s">
        <v>414</v>
      </c>
      <c r="AH85" s="6" t="s">
        <v>415</v>
      </c>
      <c r="AI85" s="2"/>
      <c r="AJ85" s="3" t="s">
        <v>416</v>
      </c>
      <c r="AK85" s="3" t="s">
        <v>197</v>
      </c>
      <c r="AL85" s="6">
        <v>778</v>
      </c>
      <c r="EB85" s="15"/>
      <c r="EC85" s="15"/>
      <c r="ED85" s="15"/>
      <c r="EE85" s="15"/>
      <c r="EF85" s="15"/>
      <c r="EG85" s="15"/>
      <c r="EH85" s="15"/>
      <c r="EI85" s="15"/>
      <c r="EK85"/>
      <c r="EL85"/>
      <c r="EM85"/>
      <c r="EN85"/>
      <c r="EO85"/>
      <c r="EP85"/>
      <c r="EQ85"/>
      <c r="EW85" s="6">
        <v>104.08999999999999</v>
      </c>
      <c r="EX85" s="6">
        <v>28.846666666666668</v>
      </c>
      <c r="EY85" s="65">
        <v>94.456666666666663</v>
      </c>
      <c r="EZ85" s="6">
        <v>59.216666666666669</v>
      </c>
      <c r="FA85" s="6">
        <v>2203.39</v>
      </c>
      <c r="GD85"/>
    </row>
    <row r="86" spans="1:186" s="6" customFormat="1" x14ac:dyDescent="0.2">
      <c r="A86" s="60" t="s">
        <v>820</v>
      </c>
      <c r="B86" s="6" t="s">
        <v>409</v>
      </c>
      <c r="C86" s="6" t="s">
        <v>60</v>
      </c>
      <c r="D86" s="6" t="s">
        <v>799</v>
      </c>
      <c r="F86" s="6">
        <v>300306</v>
      </c>
      <c r="H86" s="6">
        <v>1</v>
      </c>
      <c r="I86" s="6">
        <v>1</v>
      </c>
      <c r="J86" s="6">
        <v>1</v>
      </c>
      <c r="L86" s="6" t="s">
        <v>404</v>
      </c>
      <c r="M86" s="6" t="s">
        <v>821</v>
      </c>
      <c r="N86" s="6" t="s">
        <v>192</v>
      </c>
      <c r="O86" s="6" t="s">
        <v>671</v>
      </c>
      <c r="P86" s="6" t="s">
        <v>672</v>
      </c>
      <c r="T86">
        <v>51.07322596107047</v>
      </c>
      <c r="U86">
        <v>14.715406860473207</v>
      </c>
      <c r="V86">
        <v>56.518825487735306</v>
      </c>
      <c r="W86">
        <v>150.25637464255269</v>
      </c>
      <c r="X86">
        <v>0.10232105485495432</v>
      </c>
      <c r="Y86">
        <v>0.27960305178829198</v>
      </c>
      <c r="Z86" s="64">
        <v>78</v>
      </c>
      <c r="AA86" s="64"/>
      <c r="AB86" s="61"/>
      <c r="AC86" s="61"/>
      <c r="AD86" s="62"/>
      <c r="AE86" s="63"/>
      <c r="AF86" s="63"/>
      <c r="AG86" s="6" t="s">
        <v>409</v>
      </c>
      <c r="AH86" s="6" t="s">
        <v>410</v>
      </c>
      <c r="AI86" s="4">
        <v>300306</v>
      </c>
      <c r="AJ86" s="3" t="s">
        <v>60</v>
      </c>
      <c r="AK86" s="3" t="s">
        <v>192</v>
      </c>
      <c r="AL86" s="6">
        <v>771</v>
      </c>
      <c r="AM86" s="6" t="s">
        <v>193</v>
      </c>
      <c r="CT86" s="15">
        <v>19</v>
      </c>
      <c r="CU86" s="15">
        <v>20</v>
      </c>
      <c r="CV86" s="15">
        <v>30</v>
      </c>
      <c r="CW86" s="15">
        <v>0</v>
      </c>
      <c r="CX86" s="15">
        <v>0</v>
      </c>
      <c r="CY86" s="15">
        <v>15</v>
      </c>
      <c r="CZ86" s="15">
        <v>27</v>
      </c>
      <c r="DA86" s="15">
        <v>0</v>
      </c>
      <c r="DB86" s="15">
        <v>18</v>
      </c>
      <c r="DC86" s="15">
        <v>0</v>
      </c>
      <c r="DD86" s="15">
        <v>0</v>
      </c>
      <c r="DE86" s="15">
        <v>0</v>
      </c>
      <c r="DF86" s="15">
        <v>0</v>
      </c>
      <c r="DG86" s="15">
        <v>28</v>
      </c>
      <c r="DH86" s="15">
        <v>26</v>
      </c>
      <c r="DI86" s="15">
        <v>0</v>
      </c>
      <c r="DJ86" s="15">
        <v>26</v>
      </c>
      <c r="DK86" s="15">
        <v>0</v>
      </c>
      <c r="DL86" s="15">
        <v>22</v>
      </c>
      <c r="DM86" s="15">
        <v>0</v>
      </c>
      <c r="DN86" s="16">
        <v>0</v>
      </c>
      <c r="DO86" s="16">
        <v>0</v>
      </c>
      <c r="DP86" s="16">
        <v>15</v>
      </c>
      <c r="DQ86" s="16">
        <v>0</v>
      </c>
      <c r="DS86" s="16">
        <v>15</v>
      </c>
      <c r="DT86" s="16">
        <v>0</v>
      </c>
      <c r="DU86" s="16">
        <v>20</v>
      </c>
      <c r="DV86" s="16">
        <v>15</v>
      </c>
      <c r="DW86" s="15"/>
      <c r="DX86" s="15"/>
      <c r="DY86" s="15"/>
      <c r="DZ86" s="15"/>
      <c r="EA86" s="15"/>
      <c r="EB86" s="15"/>
      <c r="EC86" s="15"/>
      <c r="ED86" s="15"/>
      <c r="EE86" s="15"/>
      <c r="EF86" s="15"/>
      <c r="EG86" s="15"/>
      <c r="EH86" s="15"/>
      <c r="EI86" s="15"/>
      <c r="EJ86" s="15"/>
      <c r="EK86"/>
      <c r="EL86"/>
      <c r="EM86"/>
      <c r="EN86"/>
      <c r="EO86"/>
      <c r="EP86"/>
      <c r="EQ86"/>
      <c r="ER86" s="65">
        <v>5097.5766666666668</v>
      </c>
      <c r="ES86" s="6">
        <v>1969.75</v>
      </c>
      <c r="ET86" s="6">
        <v>6359.69</v>
      </c>
      <c r="EU86" s="6">
        <v>1361.22</v>
      </c>
      <c r="EV86" s="6">
        <v>4548.9433333333336</v>
      </c>
      <c r="FB86" s="6">
        <v>0</v>
      </c>
      <c r="FC86" s="6">
        <v>1.5533333333333333E-2</v>
      </c>
      <c r="FD86" s="6">
        <v>1.2528571428571429E-2</v>
      </c>
      <c r="FE86" s="6">
        <v>4.491587301587302E-2</v>
      </c>
      <c r="FF86" s="6">
        <v>0</v>
      </c>
      <c r="FG86" s="6">
        <v>1.603809523809524E-2</v>
      </c>
      <c r="FH86" s="6">
        <v>1.5468253968253964E-2</v>
      </c>
      <c r="FI86" s="6">
        <v>0.81329206349206362</v>
      </c>
      <c r="FJ86" s="66">
        <v>0</v>
      </c>
      <c r="FK86" s="66">
        <v>6.2833735035596394E-3</v>
      </c>
      <c r="FL86" s="66">
        <v>1.3607023935370386E-2</v>
      </c>
      <c r="FM86" s="66">
        <v>5.598459770114942E-2</v>
      </c>
      <c r="FN86" s="66">
        <v>0</v>
      </c>
      <c r="FO86" s="66">
        <v>7.913722222222222E-2</v>
      </c>
      <c r="FP86" s="6">
        <v>2.1313333333333333E-2</v>
      </c>
      <c r="FQ86" s="6">
        <v>6.2993333333333346E-2</v>
      </c>
      <c r="FR86" s="66">
        <v>0</v>
      </c>
      <c r="FS86" s="6">
        <v>8.3592592592592593E-2</v>
      </c>
      <c r="FT86" s="6">
        <v>3.4888888888888886E-3</v>
      </c>
      <c r="FU86" s="6">
        <v>0.14871777777777775</v>
      </c>
      <c r="FV86" s="6">
        <v>0</v>
      </c>
      <c r="FW86" s="6">
        <v>6.9070925925925911E-2</v>
      </c>
      <c r="FX86" s="6">
        <v>0</v>
      </c>
      <c r="FY86" s="6">
        <v>1.5362222222222222E-2</v>
      </c>
      <c r="FZ86" s="66">
        <v>0</v>
      </c>
      <c r="GA86" s="6">
        <v>6.4733333333333335E-3</v>
      </c>
      <c r="GB86" s="6">
        <v>1.2562222222222225E-2</v>
      </c>
      <c r="GC86" s="6">
        <v>0.31815777777777776</v>
      </c>
      <c r="GD86"/>
    </row>
    <row r="87" spans="1:186" s="6" customFormat="1" x14ac:dyDescent="0.2">
      <c r="A87" s="60" t="s">
        <v>938</v>
      </c>
      <c r="B87" s="6" t="s">
        <v>640</v>
      </c>
      <c r="C87" s="6" t="s">
        <v>72</v>
      </c>
      <c r="D87" s="6" t="s">
        <v>876</v>
      </c>
      <c r="H87" s="6">
        <v>1</v>
      </c>
      <c r="I87" s="6">
        <v>1</v>
      </c>
      <c r="L87" s="6" t="s">
        <v>469</v>
      </c>
      <c r="M87" s="6" t="s">
        <v>939</v>
      </c>
      <c r="N87" s="6" t="s">
        <v>192</v>
      </c>
      <c r="O87" s="6" t="s">
        <v>671</v>
      </c>
      <c r="P87" s="6" t="s">
        <v>672</v>
      </c>
      <c r="T87">
        <v>65.874155298325803</v>
      </c>
      <c r="U87">
        <v>56.83145699017296</v>
      </c>
      <c r="V87">
        <v>195.94957338100312</v>
      </c>
      <c r="W87">
        <v>249.00779588923021</v>
      </c>
      <c r="X87">
        <v>5.7660364967878061E-2</v>
      </c>
      <c r="Y87">
        <v>0.10801898978734281</v>
      </c>
      <c r="Z87" s="84">
        <v>110</v>
      </c>
      <c r="AA87" s="84"/>
      <c r="AB87" s="61"/>
      <c r="AC87" s="61"/>
      <c r="AD87" s="62"/>
      <c r="AE87" s="63"/>
      <c r="AF87" s="63"/>
      <c r="AG87" s="6" t="s">
        <v>71</v>
      </c>
      <c r="AH87" s="6" t="s">
        <v>469</v>
      </c>
      <c r="AI87" s="4">
        <v>301722</v>
      </c>
      <c r="AJ87" s="1" t="s">
        <v>72</v>
      </c>
      <c r="AK87" s="3" t="s">
        <v>192</v>
      </c>
      <c r="AL87" s="6">
        <v>1370</v>
      </c>
      <c r="AM87" s="6" t="s">
        <v>193</v>
      </c>
      <c r="AN87" s="4" t="s">
        <v>470</v>
      </c>
      <c r="CT87" s="15">
        <v>0</v>
      </c>
      <c r="CU87" s="15">
        <v>0</v>
      </c>
      <c r="CV87" s="15">
        <v>0</v>
      </c>
      <c r="CW87" s="15">
        <v>0</v>
      </c>
      <c r="CX87" s="15">
        <v>0</v>
      </c>
      <c r="CY87" s="15">
        <v>0</v>
      </c>
      <c r="CZ87" s="15">
        <v>0</v>
      </c>
      <c r="DA87" s="15">
        <v>0</v>
      </c>
      <c r="DB87" s="15">
        <v>0</v>
      </c>
      <c r="DC87" s="15">
        <v>0</v>
      </c>
      <c r="DD87" s="15">
        <v>0</v>
      </c>
      <c r="DE87" s="15">
        <v>0</v>
      </c>
      <c r="DF87" s="15">
        <v>0</v>
      </c>
      <c r="DG87" s="15">
        <v>0</v>
      </c>
      <c r="DH87" s="15">
        <v>0</v>
      </c>
      <c r="DI87" s="15">
        <v>0</v>
      </c>
      <c r="DJ87" s="15">
        <v>0</v>
      </c>
      <c r="DK87" s="15">
        <v>0</v>
      </c>
      <c r="DL87" s="15">
        <v>0</v>
      </c>
      <c r="DM87" s="15">
        <v>0</v>
      </c>
      <c r="DN87" s="16">
        <v>0</v>
      </c>
      <c r="DO87" s="16">
        <v>0</v>
      </c>
      <c r="DP87" s="16">
        <v>0</v>
      </c>
      <c r="DQ87" s="16">
        <v>0</v>
      </c>
      <c r="DS87" s="16">
        <v>0</v>
      </c>
      <c r="DT87" s="16">
        <v>0</v>
      </c>
      <c r="DU87" s="16">
        <v>0</v>
      </c>
      <c r="DV87" s="16">
        <v>0</v>
      </c>
      <c r="DW87" s="15"/>
      <c r="DX87" s="15"/>
      <c r="DY87" s="15"/>
      <c r="DZ87" s="15"/>
      <c r="EA87" s="15"/>
      <c r="EB87" s="15"/>
      <c r="EC87" s="15"/>
      <c r="ED87" s="15"/>
      <c r="EE87" s="15"/>
      <c r="EF87" s="15"/>
      <c r="EG87" s="15"/>
      <c r="EH87" s="15"/>
      <c r="EI87" s="15"/>
      <c r="EJ87" s="15"/>
      <c r="EK87"/>
      <c r="EL87"/>
      <c r="EM87"/>
      <c r="EN87"/>
      <c r="EO87"/>
      <c r="EP87"/>
      <c r="EQ87"/>
      <c r="ER87" s="65">
        <v>128.25666666666666</v>
      </c>
      <c r="ES87" s="6">
        <v>19.816666666666666</v>
      </c>
      <c r="ET87" s="6">
        <v>131.52666666666667</v>
      </c>
      <c r="EU87" s="6">
        <v>180.90333333333334</v>
      </c>
      <c r="EV87" s="6">
        <v>217.32000000000002</v>
      </c>
      <c r="FB87" s="86"/>
      <c r="FC87" s="14"/>
      <c r="GD87"/>
    </row>
    <row r="88" spans="1:186" s="26" customFormat="1" x14ac:dyDescent="0.2">
      <c r="A88" s="68" t="s">
        <v>689</v>
      </c>
      <c r="B88" s="26" t="s">
        <v>132</v>
      </c>
      <c r="C88" s="26" t="s">
        <v>19</v>
      </c>
      <c r="D88" s="26" t="s">
        <v>255</v>
      </c>
      <c r="F88" s="26">
        <v>273</v>
      </c>
      <c r="G88" s="26">
        <v>1</v>
      </c>
      <c r="H88" s="26">
        <v>1</v>
      </c>
      <c r="I88" s="26">
        <v>1</v>
      </c>
      <c r="J88" s="26">
        <v>1</v>
      </c>
      <c r="L88" s="26" t="s">
        <v>690</v>
      </c>
      <c r="M88" s="26" t="s">
        <v>691</v>
      </c>
      <c r="N88" s="26" t="s">
        <v>427</v>
      </c>
      <c r="O88" s="26" t="s">
        <v>692</v>
      </c>
      <c r="P88" s="26" t="s">
        <v>693</v>
      </c>
      <c r="Q88" s="26">
        <v>1</v>
      </c>
      <c r="S88" s="26">
        <v>1</v>
      </c>
      <c r="T88" s="39">
        <v>51.473010709031662</v>
      </c>
      <c r="U88" s="39">
        <v>51.370372774688576</v>
      </c>
      <c r="V88" s="39">
        <v>56.231314783697236</v>
      </c>
      <c r="W88" s="39">
        <v>56.091350028869755</v>
      </c>
      <c r="X88" s="39">
        <v>0.12173162413586609</v>
      </c>
      <c r="Y88" s="39">
        <v>0.15339909010889136</v>
      </c>
      <c r="Z88" s="69">
        <v>77</v>
      </c>
      <c r="AA88" s="69">
        <v>1</v>
      </c>
      <c r="AB88" s="56">
        <v>1.9999999999999999E-6</v>
      </c>
      <c r="AC88" s="57">
        <v>8.9999999999999998E-4</v>
      </c>
      <c r="AD88" s="59">
        <v>1.1000000000000001E-3</v>
      </c>
      <c r="AE88" s="58">
        <v>11.66</v>
      </c>
      <c r="AF88" s="58">
        <v>7.3</v>
      </c>
      <c r="AG88" s="26" t="s">
        <v>447</v>
      </c>
      <c r="AH88" s="26" t="s">
        <v>448</v>
      </c>
      <c r="AI88" s="31">
        <v>273</v>
      </c>
      <c r="AJ88" s="28" t="s">
        <v>19</v>
      </c>
      <c r="AK88" s="28" t="s">
        <v>427</v>
      </c>
      <c r="AL88" s="26">
        <v>1174</v>
      </c>
      <c r="AM88" s="26" t="s">
        <v>246</v>
      </c>
      <c r="AO88" s="32">
        <v>25.44</v>
      </c>
      <c r="AP88" s="32">
        <v>11.78</v>
      </c>
      <c r="AQ88" s="32">
        <v>89.32</v>
      </c>
      <c r="AR88" s="32">
        <v>177.8</v>
      </c>
      <c r="AS88" s="32">
        <v>499.32</v>
      </c>
      <c r="AT88" s="32">
        <v>61.96</v>
      </c>
      <c r="AU88" s="32">
        <v>27.17</v>
      </c>
      <c r="AV88" s="32">
        <v>505.3</v>
      </c>
      <c r="AW88" s="32">
        <v>249.53</v>
      </c>
      <c r="AX88" s="32">
        <v>265.38</v>
      </c>
      <c r="AY88" s="32">
        <v>265.38</v>
      </c>
      <c r="AZ88" s="32">
        <v>44.47</v>
      </c>
      <c r="BA88" s="33">
        <v>22.2191428</v>
      </c>
      <c r="BB88" s="33">
        <v>0</v>
      </c>
      <c r="BC88" s="33">
        <v>44.374188800000006</v>
      </c>
      <c r="BD88" s="33">
        <v>80.273105000000001</v>
      </c>
      <c r="BE88" s="33">
        <v>119.49845500000001</v>
      </c>
      <c r="BF88" s="33">
        <v>27.895128799999998</v>
      </c>
      <c r="BG88" s="33">
        <v>16.914686400000001</v>
      </c>
      <c r="BH88" s="33">
        <v>110.21322879999998</v>
      </c>
      <c r="BI88" s="33">
        <v>90.678117400000005</v>
      </c>
      <c r="BJ88" s="33">
        <v>154.66904400000001</v>
      </c>
      <c r="BK88" s="33">
        <v>82.169677800000002</v>
      </c>
      <c r="BL88" s="33">
        <v>91.447521999999992</v>
      </c>
      <c r="BM88" s="33">
        <v>8.2821084000000003</v>
      </c>
      <c r="BN88" s="34">
        <v>0</v>
      </c>
      <c r="BO88" s="34">
        <v>0</v>
      </c>
      <c r="BP88" s="34">
        <v>0</v>
      </c>
      <c r="BQ88" s="34">
        <v>136.96405799999999</v>
      </c>
      <c r="BR88" s="34">
        <v>396.62297220000005</v>
      </c>
      <c r="BS88" s="34">
        <v>0</v>
      </c>
      <c r="BT88" s="34">
        <v>110.33665359999999</v>
      </c>
      <c r="BU88" s="34">
        <v>0</v>
      </c>
      <c r="BV88" s="34">
        <v>0</v>
      </c>
      <c r="BW88" s="34">
        <v>49.450183200000005</v>
      </c>
      <c r="BX88" s="34">
        <v>49.261753400000003</v>
      </c>
      <c r="BY88" s="34">
        <v>112.824516</v>
      </c>
      <c r="BZ88" s="34">
        <v>358.27161720000009</v>
      </c>
      <c r="CA88" s="34">
        <v>40.861411799999999</v>
      </c>
      <c r="CB88" s="34">
        <v>212.54778319999997</v>
      </c>
      <c r="CC88" s="34">
        <v>112.53445599999999</v>
      </c>
      <c r="CD88" s="34">
        <v>37.114968599999997</v>
      </c>
      <c r="CE88" s="34">
        <v>37.311736799999998</v>
      </c>
      <c r="CF88" s="34">
        <v>29.242281599999998</v>
      </c>
      <c r="CG88" s="34">
        <v>107.87757280000002</v>
      </c>
      <c r="CH88" s="34">
        <v>165.68935019999998</v>
      </c>
      <c r="CI88" s="34">
        <v>791.05359240000007</v>
      </c>
      <c r="CJ88" s="34">
        <v>24.969062399999995</v>
      </c>
      <c r="CK88" s="34">
        <v>61.461298000000006</v>
      </c>
      <c r="CL88" s="34">
        <v>29.446096799999996</v>
      </c>
      <c r="CM88" s="34">
        <v>0</v>
      </c>
      <c r="CN88" s="34">
        <v>62.098344000000004</v>
      </c>
      <c r="CO88" s="34">
        <v>89.144118000000006</v>
      </c>
      <c r="CP88" s="34">
        <v>15.838642400000001</v>
      </c>
      <c r="CQ88" s="34">
        <v>116.72300139999999</v>
      </c>
      <c r="CR88" s="34">
        <v>16.321337999999997</v>
      </c>
      <c r="CS88" s="34">
        <v>0</v>
      </c>
      <c r="CT88" s="35">
        <v>0</v>
      </c>
      <c r="CU88" s="35">
        <v>0</v>
      </c>
      <c r="CV88" s="35">
        <v>19.630879200000003</v>
      </c>
      <c r="CW88" s="35">
        <v>0</v>
      </c>
      <c r="CX88" s="35">
        <v>0</v>
      </c>
      <c r="CY88" s="35">
        <v>0</v>
      </c>
      <c r="CZ88" s="35">
        <v>0</v>
      </c>
      <c r="DA88" s="35">
        <v>0</v>
      </c>
      <c r="DB88" s="35">
        <v>0</v>
      </c>
      <c r="DC88" s="35">
        <v>148.07147520000001</v>
      </c>
      <c r="DD88" s="35">
        <v>102.93668820000001</v>
      </c>
      <c r="DE88" s="35">
        <v>0</v>
      </c>
      <c r="DF88" s="35">
        <v>191.9476746</v>
      </c>
      <c r="DG88" s="35">
        <v>43.045904</v>
      </c>
      <c r="DH88" s="35">
        <v>74.076989999999995</v>
      </c>
      <c r="DI88" s="35">
        <v>76.287287600000013</v>
      </c>
      <c r="DJ88" s="35">
        <v>73.413246399999991</v>
      </c>
      <c r="DK88" s="35">
        <v>531.81339679999996</v>
      </c>
      <c r="DL88" s="35">
        <v>0</v>
      </c>
      <c r="DM88" s="35">
        <v>59.908991999999991</v>
      </c>
      <c r="DN88" s="35">
        <v>0</v>
      </c>
      <c r="DO88" s="35">
        <v>27.838340200000001</v>
      </c>
      <c r="DP88" s="35">
        <v>0</v>
      </c>
      <c r="DQ88" s="35">
        <v>0</v>
      </c>
      <c r="DR88" s="35">
        <v>113.70079800000001</v>
      </c>
      <c r="DS88" s="35">
        <v>0</v>
      </c>
      <c r="DT88" s="35">
        <v>40.946851799999997</v>
      </c>
      <c r="DU88" s="35">
        <v>173.765604</v>
      </c>
      <c r="DV88" s="35">
        <v>15.367255200000001</v>
      </c>
      <c r="DW88" s="36">
        <v>6.1</v>
      </c>
      <c r="DX88" s="36">
        <v>7.5</v>
      </c>
      <c r="DY88" s="36">
        <v>40</v>
      </c>
      <c r="DZ88" s="36">
        <v>21</v>
      </c>
      <c r="EA88" s="36">
        <v>11</v>
      </c>
      <c r="EB88" s="29">
        <v>126</v>
      </c>
      <c r="EC88" s="29">
        <v>564</v>
      </c>
      <c r="ED88" s="29">
        <v>35.5</v>
      </c>
      <c r="EE88" s="29">
        <v>20</v>
      </c>
      <c r="EF88" s="30">
        <v>1999</v>
      </c>
      <c r="EG88" s="26">
        <v>0</v>
      </c>
      <c r="EH88" s="26">
        <v>0</v>
      </c>
      <c r="EI88" s="26">
        <v>0</v>
      </c>
      <c r="EJ88" s="26">
        <v>0</v>
      </c>
      <c r="EK88" s="108">
        <v>1.18</v>
      </c>
      <c r="EL88" s="108">
        <v>1.18</v>
      </c>
      <c r="EM88" s="108">
        <v>1.18</v>
      </c>
      <c r="EN88" s="108">
        <v>1.18</v>
      </c>
      <c r="EO88" s="108">
        <v>1.18</v>
      </c>
      <c r="EP88" s="108"/>
      <c r="EQ88" s="108"/>
      <c r="ER88" s="73">
        <v>552.91999999999996</v>
      </c>
      <c r="ES88" s="30">
        <v>3086.4666666666667</v>
      </c>
      <c r="ET88" s="26">
        <v>1.2366666666666668</v>
      </c>
      <c r="EU88" s="26">
        <v>748.62666666666667</v>
      </c>
      <c r="EV88" s="26">
        <v>24.473333333333333</v>
      </c>
      <c r="FB88" s="26">
        <v>0</v>
      </c>
      <c r="FC88" s="26">
        <v>4.865079365079366E-2</v>
      </c>
      <c r="FD88" s="26">
        <v>2.2083333333333333E-2</v>
      </c>
      <c r="FE88" s="26">
        <v>0</v>
      </c>
      <c r="FF88" s="26">
        <v>0</v>
      </c>
      <c r="FG88" s="26">
        <v>148.67197619047619</v>
      </c>
      <c r="FH88" s="26">
        <v>0.12174018539682539</v>
      </c>
      <c r="FI88" s="26">
        <v>0</v>
      </c>
      <c r="FJ88" s="74">
        <v>0</v>
      </c>
      <c r="FK88" s="74">
        <v>204.4659713180607</v>
      </c>
      <c r="FL88" s="74">
        <v>0</v>
      </c>
      <c r="FM88" s="74">
        <v>0</v>
      </c>
      <c r="FN88" s="74">
        <v>0</v>
      </c>
      <c r="FO88" s="74">
        <v>308.33137222222223</v>
      </c>
      <c r="FP88" s="26">
        <v>0</v>
      </c>
      <c r="FQ88" s="26">
        <v>0</v>
      </c>
      <c r="FR88" s="74">
        <v>0</v>
      </c>
      <c r="FS88" s="26">
        <v>481.29744074074074</v>
      </c>
      <c r="FT88" s="26">
        <v>0</v>
      </c>
      <c r="FU88" s="26">
        <v>0</v>
      </c>
      <c r="FV88" s="26">
        <v>0</v>
      </c>
      <c r="FW88" s="26">
        <v>140.28422777777777</v>
      </c>
      <c r="FX88" s="26">
        <v>0</v>
      </c>
      <c r="FY88" s="26">
        <v>0</v>
      </c>
      <c r="FZ88" s="74">
        <v>0</v>
      </c>
      <c r="GA88" s="26">
        <v>117.93683333333334</v>
      </c>
      <c r="GB88" s="26">
        <v>1.1750000000000003E-2</v>
      </c>
      <c r="GC88" s="26">
        <v>0</v>
      </c>
      <c r="GD88"/>
    </row>
    <row r="89" spans="1:186" s="6" customFormat="1" x14ac:dyDescent="0.2">
      <c r="A89" s="60" t="s">
        <v>875</v>
      </c>
      <c r="B89" s="6" t="s">
        <v>190</v>
      </c>
      <c r="C89" s="6" t="s">
        <v>47</v>
      </c>
      <c r="D89" s="6" t="s">
        <v>876</v>
      </c>
      <c r="H89" s="6">
        <v>1</v>
      </c>
      <c r="I89" s="6">
        <v>1</v>
      </c>
      <c r="L89" s="6" t="s">
        <v>191</v>
      </c>
      <c r="M89" s="6" t="s">
        <v>877</v>
      </c>
      <c r="N89" s="6" t="s">
        <v>192</v>
      </c>
      <c r="O89" s="6" t="s">
        <v>671</v>
      </c>
      <c r="P89" s="6" t="s">
        <v>672</v>
      </c>
      <c r="T89">
        <v>1.1974559030810037</v>
      </c>
      <c r="U89">
        <v>1.6740439195345334</v>
      </c>
      <c r="V89">
        <v>4.098804112474669</v>
      </c>
      <c r="W89">
        <v>4.1884352905489806</v>
      </c>
      <c r="X89">
        <v>0.36222893851819282</v>
      </c>
      <c r="Y89">
        <v>0.37465647735140967</v>
      </c>
      <c r="Z89" s="64">
        <v>133</v>
      </c>
      <c r="AA89" s="64"/>
      <c r="AB89" s="61"/>
      <c r="AC89" s="61"/>
      <c r="AD89" s="62"/>
      <c r="AE89" s="63"/>
      <c r="AF89" s="63"/>
      <c r="AG89" s="6" t="s">
        <v>190</v>
      </c>
      <c r="AH89" s="6" t="s">
        <v>191</v>
      </c>
      <c r="AI89" s="4">
        <v>301343</v>
      </c>
      <c r="AJ89" s="3" t="s">
        <v>47</v>
      </c>
      <c r="AK89" s="3" t="s">
        <v>192</v>
      </c>
      <c r="AL89" s="6">
        <v>54</v>
      </c>
      <c r="AM89" s="6" t="s">
        <v>193</v>
      </c>
      <c r="CT89" s="15">
        <v>0</v>
      </c>
      <c r="CU89" s="15">
        <v>0</v>
      </c>
      <c r="CV89" s="15">
        <v>0</v>
      </c>
      <c r="CW89" s="15">
        <v>0</v>
      </c>
      <c r="CX89" s="15">
        <v>0</v>
      </c>
      <c r="CY89" s="15">
        <v>0</v>
      </c>
      <c r="CZ89" s="15">
        <v>0</v>
      </c>
      <c r="DA89" s="15">
        <v>0</v>
      </c>
      <c r="DB89" s="15">
        <v>0</v>
      </c>
      <c r="DC89" s="15">
        <v>0</v>
      </c>
      <c r="DD89" s="15">
        <v>0</v>
      </c>
      <c r="DE89" s="15">
        <v>0</v>
      </c>
      <c r="DF89" s="15">
        <v>0</v>
      </c>
      <c r="DG89" s="15">
        <v>0</v>
      </c>
      <c r="DH89" s="15">
        <v>0</v>
      </c>
      <c r="DI89" s="15">
        <v>0</v>
      </c>
      <c r="DJ89" s="15">
        <v>0</v>
      </c>
      <c r="DK89" s="15">
        <v>0</v>
      </c>
      <c r="DL89" s="15">
        <v>0</v>
      </c>
      <c r="DM89" s="15">
        <v>0</v>
      </c>
      <c r="DN89" s="16">
        <v>0</v>
      </c>
      <c r="DO89" s="16">
        <v>0</v>
      </c>
      <c r="DP89" s="16">
        <v>0</v>
      </c>
      <c r="DQ89" s="16">
        <v>0</v>
      </c>
      <c r="DS89" s="16">
        <v>0</v>
      </c>
      <c r="DT89" s="16">
        <v>0</v>
      </c>
      <c r="DU89" s="16">
        <v>0</v>
      </c>
      <c r="DV89" s="16">
        <v>0</v>
      </c>
      <c r="DW89" s="15"/>
      <c r="DX89" s="15"/>
      <c r="DY89" s="15"/>
      <c r="DZ89" s="15"/>
      <c r="EA89" s="15"/>
      <c r="EJ89" s="15"/>
      <c r="EK89"/>
      <c r="EL89"/>
      <c r="EM89"/>
      <c r="EN89"/>
      <c r="EO89"/>
      <c r="EP89"/>
      <c r="EQ89"/>
      <c r="ER89" s="65">
        <v>279.76</v>
      </c>
      <c r="ES89" s="6">
        <v>136.05999999999997</v>
      </c>
      <c r="ET89" s="6">
        <v>158.75666666666666</v>
      </c>
      <c r="EU89" s="6">
        <v>159.16999999999999</v>
      </c>
      <c r="EV89" s="6">
        <v>574.61666666666667</v>
      </c>
      <c r="FB89" s="78"/>
      <c r="FI89" s="65"/>
      <c r="GD89"/>
    </row>
    <row r="90" spans="1:186" s="6" customFormat="1" x14ac:dyDescent="0.2">
      <c r="A90" s="60" t="s">
        <v>889</v>
      </c>
      <c r="B90" s="6" t="s">
        <v>242</v>
      </c>
      <c r="C90" s="6" t="s">
        <v>244</v>
      </c>
      <c r="D90" s="6" t="s">
        <v>876</v>
      </c>
      <c r="H90" s="6">
        <v>1</v>
      </c>
      <c r="I90" s="6">
        <v>1</v>
      </c>
      <c r="L90" s="6" t="s">
        <v>890</v>
      </c>
      <c r="M90" s="6" t="s">
        <v>891</v>
      </c>
      <c r="N90" s="6" t="s">
        <v>197</v>
      </c>
      <c r="O90" s="6" t="s">
        <v>667</v>
      </c>
      <c r="P90" s="6" t="s">
        <v>668</v>
      </c>
      <c r="T90">
        <v>4.5866767386436651</v>
      </c>
      <c r="U90">
        <v>4.2733833586350567</v>
      </c>
      <c r="V90">
        <v>5.1496689743237161</v>
      </c>
      <c r="W90">
        <v>4.8474001511981033</v>
      </c>
      <c r="X90">
        <v>0.90237644094001712</v>
      </c>
      <c r="Y90">
        <v>0.90819969451902782</v>
      </c>
      <c r="Z90" s="64">
        <v>22</v>
      </c>
      <c r="AA90" s="64"/>
      <c r="AB90" s="61"/>
      <c r="AC90" s="61"/>
      <c r="AD90" s="62"/>
      <c r="AE90" s="63"/>
      <c r="AF90" s="63"/>
      <c r="AG90" s="6" t="s">
        <v>242</v>
      </c>
      <c r="AH90" s="6" t="s">
        <v>243</v>
      </c>
      <c r="AI90" s="2"/>
      <c r="AJ90" s="3" t="s">
        <v>244</v>
      </c>
      <c r="AK90" s="3" t="s">
        <v>197</v>
      </c>
      <c r="AL90" s="6">
        <v>248</v>
      </c>
      <c r="EB90" s="19"/>
      <c r="EC90" s="19"/>
      <c r="ED90" s="19"/>
      <c r="EE90" s="19"/>
      <c r="EF90" s="19"/>
      <c r="EG90" s="19"/>
      <c r="EH90" s="19"/>
      <c r="EI90" s="19"/>
      <c r="EK90"/>
      <c r="EL90"/>
      <c r="EM90"/>
      <c r="EN90"/>
      <c r="EO90"/>
      <c r="EP90"/>
      <c r="EQ90"/>
      <c r="EW90" s="6">
        <v>805.21999999999991</v>
      </c>
      <c r="EX90" s="6">
        <v>653.23333333333323</v>
      </c>
      <c r="EY90" s="65">
        <v>88.600000000000009</v>
      </c>
      <c r="EZ90" s="6">
        <v>83.686666666666667</v>
      </c>
      <c r="FA90" s="6">
        <v>154.92333333333332</v>
      </c>
      <c r="FB90" s="65"/>
      <c r="GD90"/>
    </row>
    <row r="91" spans="1:186" s="26" customFormat="1" x14ac:dyDescent="0.2">
      <c r="A91" s="68" t="s">
        <v>709</v>
      </c>
      <c r="B91" s="26" t="s">
        <v>710</v>
      </c>
      <c r="C91" s="26" t="s">
        <v>27</v>
      </c>
      <c r="D91" s="26" t="s">
        <v>255</v>
      </c>
      <c r="F91" s="26">
        <v>434</v>
      </c>
      <c r="G91" s="26">
        <v>1</v>
      </c>
      <c r="H91" s="26">
        <v>1</v>
      </c>
      <c r="I91" s="26">
        <v>1</v>
      </c>
      <c r="J91" s="26">
        <v>1</v>
      </c>
      <c r="L91" s="26" t="s">
        <v>711</v>
      </c>
      <c r="M91" s="26" t="s">
        <v>712</v>
      </c>
      <c r="N91" s="26" t="s">
        <v>427</v>
      </c>
      <c r="O91" s="26" t="s">
        <v>692</v>
      </c>
      <c r="P91" s="26" t="s">
        <v>693</v>
      </c>
      <c r="S91" s="26">
        <v>1</v>
      </c>
      <c r="T91" s="39">
        <v>10000</v>
      </c>
      <c r="U91" s="39">
        <v>3.044846028534371</v>
      </c>
      <c r="V91" s="39">
        <v>10000</v>
      </c>
      <c r="W91" s="39">
        <v>7.2318985195856182</v>
      </c>
      <c r="X91" s="39">
        <v>4.3677352794386455E-2</v>
      </c>
      <c r="Y91" s="39">
        <v>0.19163576648080491</v>
      </c>
      <c r="Z91" s="69">
        <v>28</v>
      </c>
      <c r="AA91" s="69"/>
      <c r="AB91" s="70"/>
      <c r="AC91" s="70"/>
      <c r="AD91" s="71"/>
      <c r="AE91" s="72"/>
      <c r="AF91" s="72"/>
      <c r="AG91" s="26" t="s">
        <v>477</v>
      </c>
      <c r="AH91" s="26" t="s">
        <v>478</v>
      </c>
      <c r="AI91" s="27">
        <v>434</v>
      </c>
      <c r="AJ91" s="28" t="s">
        <v>27</v>
      </c>
      <c r="AK91" s="28" t="s">
        <v>427</v>
      </c>
      <c r="AL91" s="26">
        <v>1611</v>
      </c>
      <c r="AM91" s="26" t="s">
        <v>246</v>
      </c>
      <c r="AO91" s="32">
        <v>0</v>
      </c>
      <c r="AP91" s="32">
        <v>0</v>
      </c>
      <c r="AQ91" s="32">
        <v>0</v>
      </c>
      <c r="AR91" s="32">
        <v>0</v>
      </c>
      <c r="AS91" s="32">
        <v>0</v>
      </c>
      <c r="AT91" s="32">
        <v>0</v>
      </c>
      <c r="AU91" s="32">
        <v>0</v>
      </c>
      <c r="AV91" s="32">
        <v>0</v>
      </c>
      <c r="AW91" s="32">
        <v>0</v>
      </c>
      <c r="AX91" s="32">
        <v>0</v>
      </c>
      <c r="AY91" s="32">
        <v>0</v>
      </c>
      <c r="AZ91" s="32">
        <v>0</v>
      </c>
      <c r="BA91" s="33">
        <v>0</v>
      </c>
      <c r="BB91" s="33">
        <v>0</v>
      </c>
      <c r="BC91" s="33">
        <v>0</v>
      </c>
      <c r="BD91" s="33">
        <v>0</v>
      </c>
      <c r="BE91" s="33">
        <v>0</v>
      </c>
      <c r="BF91" s="33">
        <v>0</v>
      </c>
      <c r="BG91" s="33">
        <v>0</v>
      </c>
      <c r="BH91" s="33">
        <v>0</v>
      </c>
      <c r="BI91" s="33">
        <v>0</v>
      </c>
      <c r="BJ91" s="33">
        <v>0</v>
      </c>
      <c r="BK91" s="33">
        <v>0</v>
      </c>
      <c r="BL91" s="33">
        <v>0</v>
      </c>
      <c r="BM91" s="33">
        <v>0</v>
      </c>
      <c r="BN91" s="34">
        <v>0</v>
      </c>
      <c r="BO91" s="34">
        <v>0</v>
      </c>
      <c r="BP91" s="34">
        <v>7.2654119999999995</v>
      </c>
      <c r="BQ91" s="34">
        <v>9.2640326000000019</v>
      </c>
      <c r="BR91" s="34">
        <v>13.331784400000002</v>
      </c>
      <c r="BS91" s="34">
        <v>5.9189256000000006</v>
      </c>
      <c r="BT91" s="34">
        <v>9.5468399999999995</v>
      </c>
      <c r="BU91" s="34">
        <v>9.2463000000000015</v>
      </c>
      <c r="BV91" s="34">
        <v>0</v>
      </c>
      <c r="BW91" s="34">
        <v>0</v>
      </c>
      <c r="BX91" s="34">
        <v>0</v>
      </c>
      <c r="BY91" s="34">
        <v>0</v>
      </c>
      <c r="BZ91" s="34">
        <v>15.485509200000001</v>
      </c>
      <c r="CA91" s="34">
        <v>0</v>
      </c>
      <c r="CB91" s="34">
        <v>0</v>
      </c>
      <c r="CC91" s="34">
        <v>0</v>
      </c>
      <c r="CD91" s="34">
        <v>0</v>
      </c>
      <c r="CE91" s="34">
        <v>0</v>
      </c>
      <c r="CF91" s="34">
        <v>0</v>
      </c>
      <c r="CG91" s="34">
        <v>0</v>
      </c>
      <c r="CH91" s="34">
        <v>0</v>
      </c>
      <c r="CI91" s="34">
        <v>0</v>
      </c>
      <c r="CJ91" s="34">
        <v>0</v>
      </c>
      <c r="CK91" s="34">
        <v>0</v>
      </c>
      <c r="CL91" s="34">
        <v>0</v>
      </c>
      <c r="CM91" s="34">
        <v>0</v>
      </c>
      <c r="CN91" s="34">
        <v>0</v>
      </c>
      <c r="CO91" s="34">
        <v>0</v>
      </c>
      <c r="CP91" s="34">
        <v>0</v>
      </c>
      <c r="CQ91" s="34">
        <v>0</v>
      </c>
      <c r="CR91" s="34">
        <v>0</v>
      </c>
      <c r="CS91" s="34">
        <v>0</v>
      </c>
      <c r="CT91" s="35">
        <v>0</v>
      </c>
      <c r="CU91" s="35">
        <v>0</v>
      </c>
      <c r="CV91" s="35">
        <v>0</v>
      </c>
      <c r="CW91" s="35">
        <v>0</v>
      </c>
      <c r="CX91" s="35">
        <v>0</v>
      </c>
      <c r="CY91" s="35">
        <v>0</v>
      </c>
      <c r="CZ91" s="35">
        <v>0</v>
      </c>
      <c r="DA91" s="35">
        <v>0</v>
      </c>
      <c r="DB91" s="35">
        <v>0</v>
      </c>
      <c r="DC91" s="35">
        <v>0</v>
      </c>
      <c r="DD91" s="35">
        <v>0</v>
      </c>
      <c r="DE91" s="35">
        <v>0</v>
      </c>
      <c r="DF91" s="35">
        <v>0</v>
      </c>
      <c r="DG91" s="35">
        <v>0</v>
      </c>
      <c r="DH91" s="35">
        <v>0</v>
      </c>
      <c r="DI91" s="35">
        <v>11.545324200000001</v>
      </c>
      <c r="DJ91" s="35">
        <v>6.625528000000001</v>
      </c>
      <c r="DK91" s="35">
        <v>10.961610200000001</v>
      </c>
      <c r="DL91" s="35">
        <v>0</v>
      </c>
      <c r="DM91" s="35">
        <v>0</v>
      </c>
      <c r="DN91" s="35">
        <v>0</v>
      </c>
      <c r="DO91" s="35">
        <v>0</v>
      </c>
      <c r="DP91" s="35">
        <v>0</v>
      </c>
      <c r="DQ91" s="35">
        <v>0</v>
      </c>
      <c r="DR91" s="35">
        <v>22.59</v>
      </c>
      <c r="DS91" s="35">
        <v>0</v>
      </c>
      <c r="DT91" s="35">
        <v>0</v>
      </c>
      <c r="DU91" s="35">
        <v>25.82</v>
      </c>
      <c r="DV91" s="35">
        <v>0</v>
      </c>
      <c r="DW91" s="36">
        <v>0</v>
      </c>
      <c r="DX91" s="36">
        <v>0</v>
      </c>
      <c r="DY91" s="36">
        <v>0</v>
      </c>
      <c r="DZ91" s="36">
        <v>0</v>
      </c>
      <c r="EA91" s="36">
        <v>0</v>
      </c>
      <c r="EB91" s="29">
        <v>0</v>
      </c>
      <c r="EC91" s="29">
        <v>14.8</v>
      </c>
      <c r="ED91" s="29">
        <v>0</v>
      </c>
      <c r="EE91" s="29">
        <v>0</v>
      </c>
      <c r="EF91" s="30">
        <v>1992</v>
      </c>
      <c r="EG91" s="26">
        <v>0</v>
      </c>
      <c r="EH91" s="26">
        <v>0</v>
      </c>
      <c r="EI91" s="26">
        <v>0</v>
      </c>
      <c r="EJ91" s="26">
        <v>0</v>
      </c>
      <c r="EK91" s="108">
        <v>1.02</v>
      </c>
      <c r="EL91" s="108">
        <v>1.02</v>
      </c>
      <c r="EM91" s="108">
        <v>1.02</v>
      </c>
      <c r="EN91" s="108">
        <v>1.02</v>
      </c>
      <c r="EO91" s="108">
        <v>1.02</v>
      </c>
      <c r="EP91" s="108"/>
      <c r="EQ91" s="108"/>
      <c r="FB91" s="73"/>
      <c r="GD91"/>
    </row>
    <row r="92" spans="1:186" s="6" customFormat="1" x14ac:dyDescent="0.2">
      <c r="A92" s="60" t="s">
        <v>1060</v>
      </c>
      <c r="B92" s="6" t="s">
        <v>1061</v>
      </c>
      <c r="C92" s="6" t="s">
        <v>105</v>
      </c>
      <c r="D92" s="6" t="s">
        <v>876</v>
      </c>
      <c r="H92" s="6">
        <v>1</v>
      </c>
      <c r="L92" s="6" t="s">
        <v>876</v>
      </c>
      <c r="M92" s="6" t="s">
        <v>876</v>
      </c>
      <c r="N92" s="6" t="s">
        <v>427</v>
      </c>
      <c r="O92" s="6" t="s">
        <v>876</v>
      </c>
      <c r="P92" s="6" t="s">
        <v>876</v>
      </c>
      <c r="T92"/>
      <c r="U92"/>
      <c r="V92"/>
      <c r="W92"/>
      <c r="X92"/>
      <c r="Y92"/>
      <c r="Z92"/>
      <c r="AA92"/>
      <c r="AB92" s="61"/>
      <c r="AC92" s="61"/>
      <c r="AD92" s="62"/>
      <c r="AE92" s="63"/>
      <c r="AF92" s="63"/>
      <c r="AG92" s="6" t="s">
        <v>569</v>
      </c>
      <c r="AI92" s="2"/>
      <c r="AJ92" s="8" t="s">
        <v>105</v>
      </c>
      <c r="AK92" s="3" t="s">
        <v>427</v>
      </c>
      <c r="AM92" s="6" t="s">
        <v>193</v>
      </c>
      <c r="DW92" s="19">
        <v>0</v>
      </c>
      <c r="DX92" s="19">
        <v>0</v>
      </c>
      <c r="DY92" s="19">
        <v>0</v>
      </c>
      <c r="DZ92" s="19">
        <v>0</v>
      </c>
      <c r="EA92" s="19">
        <v>0</v>
      </c>
      <c r="EJ92" s="19"/>
      <c r="EK92"/>
      <c r="EL92"/>
      <c r="EM92"/>
      <c r="EN92"/>
      <c r="EO92"/>
      <c r="EP92"/>
      <c r="EQ92"/>
      <c r="FB92" s="65"/>
      <c r="GD92"/>
    </row>
    <row r="93" spans="1:186" s="6" customFormat="1" x14ac:dyDescent="0.2">
      <c r="A93" s="60" t="s">
        <v>1022</v>
      </c>
      <c r="B93" s="6" t="s">
        <v>168</v>
      </c>
      <c r="C93" s="6" t="s">
        <v>107</v>
      </c>
      <c r="D93" s="6" t="s">
        <v>255</v>
      </c>
      <c r="E93" t="s">
        <v>488</v>
      </c>
      <c r="F93" s="6">
        <v>300377</v>
      </c>
      <c r="G93" s="6">
        <v>1</v>
      </c>
      <c r="H93" s="6">
        <v>1</v>
      </c>
      <c r="J93" s="6">
        <v>1</v>
      </c>
      <c r="L93" s="6" t="s">
        <v>876</v>
      </c>
      <c r="M93" s="6" t="s">
        <v>876</v>
      </c>
      <c r="N93" s="6" t="s">
        <v>473</v>
      </c>
      <c r="O93" s="6" t="s">
        <v>876</v>
      </c>
      <c r="P93" s="6" t="s">
        <v>876</v>
      </c>
      <c r="T93"/>
      <c r="U93"/>
      <c r="V93"/>
      <c r="W93"/>
      <c r="X93"/>
      <c r="Y93"/>
      <c r="Z93" s="64">
        <v>377</v>
      </c>
      <c r="AA93" s="64"/>
      <c r="AB93" s="61"/>
      <c r="AC93" s="61"/>
      <c r="AD93" s="62"/>
      <c r="AE93" s="63"/>
      <c r="AF93" s="63"/>
      <c r="AG93" s="6" t="s">
        <v>168</v>
      </c>
      <c r="AI93" s="6">
        <v>300377</v>
      </c>
      <c r="AJ93" s="6" t="s">
        <v>107</v>
      </c>
      <c r="AK93" s="3" t="s">
        <v>473</v>
      </c>
      <c r="AL93" s="3"/>
      <c r="AM93" s="6" t="s">
        <v>246</v>
      </c>
      <c r="DW93" s="19">
        <v>0</v>
      </c>
      <c r="DX93" s="19">
        <v>0</v>
      </c>
      <c r="DY93" s="19">
        <v>0</v>
      </c>
      <c r="DZ93" s="19">
        <v>0</v>
      </c>
      <c r="EA93" s="19">
        <v>0</v>
      </c>
      <c r="EB93" s="17">
        <v>0</v>
      </c>
      <c r="EC93" s="17">
        <v>0</v>
      </c>
      <c r="ED93" s="17">
        <v>0</v>
      </c>
      <c r="EE93" s="17">
        <v>0</v>
      </c>
      <c r="EF93" s="17"/>
      <c r="EG93" s="17"/>
      <c r="EH93" s="17"/>
      <c r="EI93" s="17"/>
      <c r="EJ93" s="19"/>
      <c r="EK93" s="106">
        <v>0.47</v>
      </c>
      <c r="EL93" s="106">
        <v>0.47</v>
      </c>
      <c r="EM93" s="106">
        <v>0.47</v>
      </c>
      <c r="EN93" s="106">
        <v>0.47</v>
      </c>
      <c r="EO93" s="106">
        <v>0.47</v>
      </c>
      <c r="EP93" s="106"/>
      <c r="EQ93" s="106"/>
      <c r="FB93" s="14">
        <v>0</v>
      </c>
      <c r="FC93" s="14">
        <v>0</v>
      </c>
      <c r="FD93" s="6">
        <v>0</v>
      </c>
      <c r="FE93" s="6">
        <v>0</v>
      </c>
      <c r="FF93" s="6">
        <v>0</v>
      </c>
      <c r="FG93" s="6">
        <v>9.6754285714285704</v>
      </c>
      <c r="FH93" s="6">
        <v>0</v>
      </c>
      <c r="FI93" s="6">
        <v>0</v>
      </c>
      <c r="FJ93" s="77">
        <v>0</v>
      </c>
      <c r="FK93" s="77">
        <v>25.615099999999998</v>
      </c>
      <c r="FL93" s="77">
        <v>0</v>
      </c>
      <c r="FM93" s="77">
        <v>0</v>
      </c>
      <c r="FN93" s="77">
        <v>0</v>
      </c>
      <c r="FO93" s="77">
        <v>25.770000000000003</v>
      </c>
      <c r="FP93" s="6">
        <v>0</v>
      </c>
      <c r="FQ93" s="6">
        <v>0</v>
      </c>
      <c r="FR93" s="77">
        <v>0</v>
      </c>
      <c r="FS93" s="6">
        <v>26.061777777777781</v>
      </c>
      <c r="FT93" s="6">
        <v>0</v>
      </c>
      <c r="FU93" s="6">
        <v>0</v>
      </c>
      <c r="FV93" s="6">
        <v>0</v>
      </c>
      <c r="FW93" s="6">
        <v>16.212166666666665</v>
      </c>
      <c r="FX93" s="6">
        <v>0</v>
      </c>
      <c r="FY93" s="6">
        <v>0</v>
      </c>
      <c r="FZ93" s="77">
        <v>0</v>
      </c>
      <c r="GA93" s="6">
        <v>18.128</v>
      </c>
      <c r="GB93" s="6">
        <v>0</v>
      </c>
      <c r="GC93" s="6">
        <v>0</v>
      </c>
      <c r="GD93"/>
    </row>
    <row r="94" spans="1:186" s="6" customFormat="1" x14ac:dyDescent="0.2">
      <c r="A94" s="60" t="s">
        <v>868</v>
      </c>
      <c r="B94" s="6" t="s">
        <v>577</v>
      </c>
      <c r="C94" s="6" t="s">
        <v>335</v>
      </c>
      <c r="D94" s="6" t="s">
        <v>869</v>
      </c>
      <c r="F94" s="6">
        <v>301763</v>
      </c>
      <c r="H94" s="6">
        <v>1</v>
      </c>
      <c r="I94" s="6">
        <v>1</v>
      </c>
      <c r="J94" s="6">
        <v>1</v>
      </c>
      <c r="L94" s="6" t="s">
        <v>331</v>
      </c>
      <c r="M94" s="6" t="s">
        <v>870</v>
      </c>
      <c r="N94" s="6" t="s">
        <v>201</v>
      </c>
      <c r="O94" s="6" t="s">
        <v>671</v>
      </c>
      <c r="P94" s="6" t="s">
        <v>672</v>
      </c>
      <c r="T94">
        <v>50.506582078759998</v>
      </c>
      <c r="U94">
        <v>49.724380832902042</v>
      </c>
      <c r="V94">
        <v>55.476143252781796</v>
      </c>
      <c r="W94">
        <v>54.543326548850629</v>
      </c>
      <c r="X94">
        <v>5.29737584885819E-2</v>
      </c>
      <c r="Y94">
        <v>0.12283675114997511</v>
      </c>
      <c r="Z94" s="64">
        <v>93</v>
      </c>
      <c r="AA94" s="64"/>
      <c r="AB94" s="61"/>
      <c r="AC94" s="61"/>
      <c r="AD94" s="62"/>
      <c r="AE94" s="63"/>
      <c r="AF94" s="63"/>
      <c r="AG94" s="6" t="s">
        <v>333</v>
      </c>
      <c r="AH94" s="6" t="s">
        <v>334</v>
      </c>
      <c r="AI94" s="2"/>
      <c r="AJ94" s="3" t="s">
        <v>335</v>
      </c>
      <c r="AK94" s="3" t="s">
        <v>201</v>
      </c>
      <c r="AL94" s="6">
        <v>513</v>
      </c>
      <c r="AM94" s="6" t="s">
        <v>193</v>
      </c>
      <c r="EB94" s="15"/>
      <c r="EC94" s="15"/>
      <c r="ED94" s="15"/>
      <c r="EE94" s="15"/>
      <c r="EF94" s="15"/>
      <c r="EG94" s="15"/>
      <c r="EH94" s="15"/>
      <c r="EI94" s="15"/>
      <c r="EK94"/>
      <c r="EL94"/>
      <c r="EM94"/>
      <c r="EN94"/>
      <c r="EO94"/>
      <c r="EP94"/>
      <c r="EQ94"/>
      <c r="ER94" s="75">
        <v>0</v>
      </c>
      <c r="ES94" s="6">
        <v>0</v>
      </c>
      <c r="ET94" s="6">
        <v>214.16333333333333</v>
      </c>
      <c r="EU94" s="6">
        <v>81.029999999999987</v>
      </c>
      <c r="EV94" s="6">
        <v>35.023333333333333</v>
      </c>
      <c r="FB94" s="6">
        <v>0</v>
      </c>
      <c r="FC94" s="6">
        <v>0</v>
      </c>
      <c r="FD94" s="6">
        <v>0</v>
      </c>
      <c r="FE94" s="6">
        <v>0</v>
      </c>
      <c r="FF94" s="6">
        <v>0</v>
      </c>
      <c r="FG94" s="6">
        <v>0</v>
      </c>
      <c r="FH94" s="6">
        <v>0</v>
      </c>
      <c r="FI94" s="6">
        <v>0</v>
      </c>
      <c r="FJ94" s="66">
        <v>0</v>
      </c>
      <c r="FK94" s="66">
        <v>0</v>
      </c>
      <c r="FL94" s="66">
        <v>0</v>
      </c>
      <c r="FM94" s="66">
        <v>0</v>
      </c>
      <c r="FN94" s="66">
        <v>0</v>
      </c>
      <c r="FO94" s="66">
        <v>0</v>
      </c>
      <c r="FP94" s="6">
        <v>0</v>
      </c>
      <c r="FQ94" s="6">
        <v>0</v>
      </c>
      <c r="FR94" s="66">
        <v>0</v>
      </c>
      <c r="FS94" s="6">
        <v>0</v>
      </c>
      <c r="FT94" s="6">
        <v>0</v>
      </c>
      <c r="FU94" s="6">
        <v>0</v>
      </c>
      <c r="FV94" s="6">
        <v>0</v>
      </c>
      <c r="FW94" s="6">
        <v>0</v>
      </c>
      <c r="FX94" s="6">
        <v>0</v>
      </c>
      <c r="FY94" s="6">
        <v>0</v>
      </c>
      <c r="FZ94" s="66">
        <v>0</v>
      </c>
      <c r="GA94" s="6">
        <v>0</v>
      </c>
      <c r="GB94" s="6">
        <v>0</v>
      </c>
      <c r="GC94" s="6">
        <v>0</v>
      </c>
      <c r="GD94"/>
    </row>
    <row r="95" spans="1:186" s="6" customFormat="1" x14ac:dyDescent="0.2">
      <c r="A95" s="60" t="s">
        <v>956</v>
      </c>
      <c r="B95" s="6" t="s">
        <v>593</v>
      </c>
      <c r="C95" s="6" t="s">
        <v>74</v>
      </c>
      <c r="D95" s="6" t="s">
        <v>876</v>
      </c>
      <c r="H95" s="6">
        <v>1</v>
      </c>
      <c r="I95" s="6">
        <v>1</v>
      </c>
      <c r="L95" s="6" t="s">
        <v>521</v>
      </c>
      <c r="M95" s="6" t="s">
        <v>957</v>
      </c>
      <c r="N95" s="6" t="s">
        <v>192</v>
      </c>
      <c r="O95" s="6" t="s">
        <v>671</v>
      </c>
      <c r="P95" s="6" t="s">
        <v>672</v>
      </c>
      <c r="T95">
        <v>13.771000319160093</v>
      </c>
      <c r="U95">
        <v>4.3124784656304218</v>
      </c>
      <c r="V95">
        <v>17.582209678635689</v>
      </c>
      <c r="W95">
        <v>4.8865187976259055</v>
      </c>
      <c r="X95">
        <v>0.68455635157192762</v>
      </c>
      <c r="Y95">
        <v>0.91513446719688418</v>
      </c>
      <c r="Z95" s="64">
        <v>109</v>
      </c>
      <c r="AA95" s="64"/>
      <c r="AB95" s="61"/>
      <c r="AC95" s="61"/>
      <c r="AD95" s="62"/>
      <c r="AE95" s="63"/>
      <c r="AF95" s="63"/>
      <c r="AG95" s="6" t="s">
        <v>73</v>
      </c>
      <c r="AH95" s="6" t="s">
        <v>521</v>
      </c>
      <c r="AI95" s="4">
        <v>301738</v>
      </c>
      <c r="AJ95" s="3" t="s">
        <v>74</v>
      </c>
      <c r="AK95" s="3" t="s">
        <v>192</v>
      </c>
      <c r="AL95" s="6">
        <v>2601</v>
      </c>
      <c r="AM95" s="6" t="s">
        <v>193</v>
      </c>
      <c r="CT95" s="15">
        <v>0</v>
      </c>
      <c r="CU95" s="15">
        <v>37</v>
      </c>
      <c r="CV95" s="15">
        <v>64</v>
      </c>
      <c r="CW95" s="15">
        <v>0</v>
      </c>
      <c r="CX95" s="15">
        <v>0</v>
      </c>
      <c r="CY95" s="15">
        <v>68</v>
      </c>
      <c r="CZ95" s="15">
        <v>0</v>
      </c>
      <c r="DA95" s="15">
        <v>0</v>
      </c>
      <c r="DB95" s="15">
        <v>0</v>
      </c>
      <c r="DC95" s="15">
        <v>140</v>
      </c>
      <c r="DD95" s="15">
        <v>330</v>
      </c>
      <c r="DE95" s="15">
        <v>0</v>
      </c>
      <c r="DF95" s="15">
        <v>130</v>
      </c>
      <c r="DG95" s="15">
        <v>120</v>
      </c>
      <c r="DH95" s="15">
        <v>0</v>
      </c>
      <c r="DI95" s="15">
        <v>340</v>
      </c>
      <c r="DJ95" s="15">
        <v>74</v>
      </c>
      <c r="DK95" s="15">
        <v>0</v>
      </c>
      <c r="DL95" s="15">
        <v>0</v>
      </c>
      <c r="DM95" s="15">
        <v>0</v>
      </c>
      <c r="DN95" s="16">
        <v>0</v>
      </c>
      <c r="DO95" s="16">
        <v>57</v>
      </c>
      <c r="DP95" s="16">
        <v>40</v>
      </c>
      <c r="DQ95" s="16">
        <v>0</v>
      </c>
      <c r="DS95" s="16">
        <v>120</v>
      </c>
      <c r="DT95" s="16">
        <v>160</v>
      </c>
      <c r="DU95" s="16">
        <v>240</v>
      </c>
      <c r="DV95" s="16">
        <v>0</v>
      </c>
      <c r="DW95" s="15"/>
      <c r="DX95" s="15"/>
      <c r="DY95" s="15"/>
      <c r="DZ95" s="15"/>
      <c r="EA95" s="15"/>
      <c r="EJ95" s="15"/>
      <c r="EK95"/>
      <c r="EL95"/>
      <c r="EM95"/>
      <c r="EN95"/>
      <c r="EO95"/>
      <c r="EP95"/>
      <c r="EQ95"/>
      <c r="ER95" s="65">
        <v>6027.0300000000016</v>
      </c>
      <c r="ES95" s="6">
        <v>3521.8666666666668</v>
      </c>
      <c r="ET95" s="6">
        <v>3514.8066666666668</v>
      </c>
      <c r="EU95" s="6">
        <v>4628.4399999999996</v>
      </c>
      <c r="EV95" s="6">
        <v>7425.5966666666673</v>
      </c>
      <c r="GD95"/>
    </row>
    <row r="96" spans="1:186" s="6" customFormat="1" x14ac:dyDescent="0.2">
      <c r="A96" s="60" t="s">
        <v>851</v>
      </c>
      <c r="B96" s="6" t="s">
        <v>583</v>
      </c>
      <c r="C96" s="6" t="s">
        <v>252</v>
      </c>
      <c r="D96" s="6" t="s">
        <v>255</v>
      </c>
      <c r="F96" s="6">
        <v>301733</v>
      </c>
      <c r="H96" s="6">
        <v>1</v>
      </c>
      <c r="I96" s="6">
        <v>1</v>
      </c>
      <c r="J96" s="6">
        <v>1</v>
      </c>
      <c r="L96" s="6" t="s">
        <v>251</v>
      </c>
      <c r="M96" s="6" t="s">
        <v>852</v>
      </c>
      <c r="N96" s="6" t="s">
        <v>201</v>
      </c>
      <c r="O96" s="6" t="s">
        <v>671</v>
      </c>
      <c r="P96" s="6" t="s">
        <v>672</v>
      </c>
      <c r="S96" s="6">
        <v>1</v>
      </c>
      <c r="T96">
        <v>10000</v>
      </c>
      <c r="U96">
        <v>10000</v>
      </c>
      <c r="V96">
        <v>10000</v>
      </c>
      <c r="W96">
        <v>10000</v>
      </c>
      <c r="X96">
        <v>4.3729258556326582E-2</v>
      </c>
      <c r="Y96">
        <v>6.7708735803781159E-2</v>
      </c>
      <c r="Z96" s="64">
        <v>71</v>
      </c>
      <c r="AA96" s="64"/>
      <c r="AB96" s="61"/>
      <c r="AC96" s="61"/>
      <c r="AD96" s="62"/>
      <c r="AE96" s="63"/>
      <c r="AF96" s="63"/>
      <c r="AG96" s="6" t="s">
        <v>250</v>
      </c>
      <c r="AH96" s="6" t="s">
        <v>251</v>
      </c>
      <c r="AI96" s="2"/>
      <c r="AJ96" s="3" t="s">
        <v>252</v>
      </c>
      <c r="AK96" s="3" t="s">
        <v>201</v>
      </c>
      <c r="AL96" s="6">
        <v>252</v>
      </c>
      <c r="AM96" s="6" t="s">
        <v>193</v>
      </c>
      <c r="EK96"/>
      <c r="EL96"/>
      <c r="EM96"/>
      <c r="EN96"/>
      <c r="EO96"/>
      <c r="EP96"/>
      <c r="EQ96"/>
      <c r="ER96" s="75">
        <v>0</v>
      </c>
      <c r="ES96" s="6">
        <v>0</v>
      </c>
      <c r="ET96" s="6">
        <v>4.0433333333333339</v>
      </c>
      <c r="EU96" s="6">
        <v>28.333333333333332</v>
      </c>
      <c r="EV96" s="6">
        <v>2.89</v>
      </c>
      <c r="FB96" s="6">
        <v>0</v>
      </c>
      <c r="FC96" s="6">
        <v>0</v>
      </c>
      <c r="FD96" s="6">
        <v>0</v>
      </c>
      <c r="FE96" s="6">
        <v>0</v>
      </c>
      <c r="FF96" s="6">
        <v>0</v>
      </c>
      <c r="FG96" s="6">
        <v>0</v>
      </c>
      <c r="FH96" s="6">
        <v>0</v>
      </c>
      <c r="FI96" s="6">
        <v>0</v>
      </c>
      <c r="FJ96" s="66">
        <v>0</v>
      </c>
      <c r="FK96" s="66">
        <v>0</v>
      </c>
      <c r="FL96" s="66">
        <v>0</v>
      </c>
      <c r="FM96" s="66">
        <v>0</v>
      </c>
      <c r="FN96" s="66">
        <v>0</v>
      </c>
      <c r="FO96" s="66">
        <v>0</v>
      </c>
      <c r="FP96" s="6">
        <v>1.2271111111111111E-2</v>
      </c>
      <c r="FQ96" s="6">
        <v>0</v>
      </c>
      <c r="FR96" s="66">
        <v>0</v>
      </c>
      <c r="FS96" s="6">
        <v>0</v>
      </c>
      <c r="FT96" s="6">
        <v>1.8255555555555556E-2</v>
      </c>
      <c r="FU96" s="6">
        <v>0</v>
      </c>
      <c r="FV96" s="6">
        <v>0</v>
      </c>
      <c r="FW96" s="6">
        <v>0</v>
      </c>
      <c r="FX96" s="6">
        <v>2.1526666666666666E-2</v>
      </c>
      <c r="FY96" s="6">
        <v>0</v>
      </c>
      <c r="FZ96" s="66">
        <v>0</v>
      </c>
      <c r="GA96" s="6">
        <v>0</v>
      </c>
      <c r="GB96" s="6">
        <v>2.6791111111111106E-2</v>
      </c>
      <c r="GC96" s="6">
        <v>0</v>
      </c>
      <c r="GD96"/>
    </row>
    <row r="97" spans="1:186" s="26" customFormat="1" x14ac:dyDescent="0.2">
      <c r="A97" s="68" t="s">
        <v>686</v>
      </c>
      <c r="B97" s="26" t="s">
        <v>122</v>
      </c>
      <c r="C97" s="26" t="s">
        <v>18</v>
      </c>
      <c r="D97" s="26" t="s">
        <v>255</v>
      </c>
      <c r="F97" s="26">
        <v>272</v>
      </c>
      <c r="G97" s="26">
        <v>1</v>
      </c>
      <c r="H97" s="26">
        <v>1</v>
      </c>
      <c r="I97" s="26">
        <v>1</v>
      </c>
      <c r="J97" s="26">
        <v>1</v>
      </c>
      <c r="L97" s="26" t="s">
        <v>687</v>
      </c>
      <c r="M97" s="26" t="s">
        <v>688</v>
      </c>
      <c r="N97" s="26" t="s">
        <v>427</v>
      </c>
      <c r="O97" s="26" t="s">
        <v>678</v>
      </c>
      <c r="P97" s="26" t="s">
        <v>679</v>
      </c>
      <c r="S97" s="26">
        <v>1</v>
      </c>
      <c r="T97" s="39">
        <v>64.735656483047862</v>
      </c>
      <c r="U97" s="39">
        <v>37.241894208902472</v>
      </c>
      <c r="V97" s="39">
        <v>141.67942317204327</v>
      </c>
      <c r="W97" s="39">
        <v>65.129756854902027</v>
      </c>
      <c r="X97" s="39">
        <v>3.036432131163452E-2</v>
      </c>
      <c r="Y97" s="39">
        <v>0.10387531290992236</v>
      </c>
      <c r="Z97" s="69">
        <v>10</v>
      </c>
      <c r="AA97" s="69">
        <v>0.2</v>
      </c>
      <c r="AB97" s="56">
        <v>3.2100000000000001E-5</v>
      </c>
      <c r="AC97" s="57">
        <v>1.4E-3</v>
      </c>
      <c r="AD97" s="59">
        <v>1.1E-4</v>
      </c>
      <c r="AE97" s="58">
        <v>21</v>
      </c>
      <c r="AF97" s="58">
        <v>21</v>
      </c>
      <c r="AG97" s="26" t="s">
        <v>442</v>
      </c>
      <c r="AH97" s="26" t="s">
        <v>443</v>
      </c>
      <c r="AI97" s="27">
        <v>272</v>
      </c>
      <c r="AJ97" s="26" t="s">
        <v>18</v>
      </c>
      <c r="AK97" s="28" t="s">
        <v>427</v>
      </c>
      <c r="AL97" s="26">
        <v>1171</v>
      </c>
      <c r="AM97" s="26" t="s">
        <v>246</v>
      </c>
      <c r="AN97" s="26" t="s">
        <v>444</v>
      </c>
      <c r="AO97" s="32">
        <v>252.15</v>
      </c>
      <c r="AP97" s="32">
        <v>146.72</v>
      </c>
      <c r="AQ97" s="32">
        <v>845.1</v>
      </c>
      <c r="AR97" s="32">
        <v>1442.43</v>
      </c>
      <c r="AS97" s="32">
        <v>3049.68</v>
      </c>
      <c r="AT97" s="32">
        <v>638.66</v>
      </c>
      <c r="AU97" s="32">
        <v>196.93</v>
      </c>
      <c r="AV97" s="32">
        <v>2162.54</v>
      </c>
      <c r="AW97" s="32">
        <v>1525.48</v>
      </c>
      <c r="AX97" s="32">
        <v>1786.88</v>
      </c>
      <c r="AY97" s="32">
        <v>1786.88</v>
      </c>
      <c r="AZ97" s="32">
        <v>121.26</v>
      </c>
      <c r="BA97" s="33">
        <v>218.30600400000003</v>
      </c>
      <c r="BB97" s="33">
        <v>116.90183959999999</v>
      </c>
      <c r="BC97" s="33">
        <v>500.57582699999995</v>
      </c>
      <c r="BD97" s="33">
        <v>555.67576320000001</v>
      </c>
      <c r="BE97" s="33">
        <v>877.677097</v>
      </c>
      <c r="BF97" s="33">
        <v>255.88654439999996</v>
      </c>
      <c r="BG97" s="33">
        <v>193.91574299999999</v>
      </c>
      <c r="BH97" s="33">
        <v>751.99283119999996</v>
      </c>
      <c r="BI97" s="33">
        <v>629.67504599999995</v>
      </c>
      <c r="BJ97" s="33">
        <v>824.65227519999996</v>
      </c>
      <c r="BK97" s="33">
        <v>754.78598160000001</v>
      </c>
      <c r="BL97" s="33">
        <v>642.27430000000004</v>
      </c>
      <c r="BM97" s="33">
        <v>79.363191599999993</v>
      </c>
      <c r="BN97" s="34">
        <v>129.59007360000001</v>
      </c>
      <c r="BO97" s="34">
        <v>77.879881799999993</v>
      </c>
      <c r="BP97" s="34">
        <v>631.21668540000007</v>
      </c>
      <c r="BQ97" s="34">
        <v>1075.5114768000001</v>
      </c>
      <c r="BR97" s="34">
        <v>2065.6337129999997</v>
      </c>
      <c r="BS97" s="34">
        <v>315.2324352</v>
      </c>
      <c r="BT97" s="34">
        <v>1211.7510090000001</v>
      </c>
      <c r="BU97" s="34">
        <v>916.58061559999999</v>
      </c>
      <c r="BV97" s="34">
        <v>193.91793919999998</v>
      </c>
      <c r="BW97" s="34">
        <v>249.78785919999996</v>
      </c>
      <c r="BX97" s="34">
        <v>435.58454100000006</v>
      </c>
      <c r="BY97" s="34">
        <v>1256.416029</v>
      </c>
      <c r="BZ97" s="34">
        <v>2491.1239036000002</v>
      </c>
      <c r="CA97" s="34">
        <v>532.62668400000007</v>
      </c>
      <c r="CB97" s="34">
        <v>1936.5760512000004</v>
      </c>
      <c r="CC97" s="34">
        <v>1272.5015346</v>
      </c>
      <c r="CD97" s="34">
        <v>210.17812499999999</v>
      </c>
      <c r="CE97" s="34">
        <v>391.72046159999996</v>
      </c>
      <c r="CF97" s="34">
        <v>73.547520000000006</v>
      </c>
      <c r="CG97" s="34">
        <v>1142.4667360000001</v>
      </c>
      <c r="CH97" s="34">
        <v>1532.4177500000001</v>
      </c>
      <c r="CI97" s="34">
        <v>5684.3195264000005</v>
      </c>
      <c r="CJ97" s="34">
        <v>305.51096100000001</v>
      </c>
      <c r="CK97" s="34">
        <v>804.27815299999986</v>
      </c>
      <c r="CL97" s="34">
        <v>128.520546</v>
      </c>
      <c r="CM97" s="34">
        <v>41.716847999999999</v>
      </c>
      <c r="CN97" s="34">
        <v>348.57052899999996</v>
      </c>
      <c r="CO97" s="34">
        <v>443.53930059999999</v>
      </c>
      <c r="CP97" s="34">
        <v>78.177040000000005</v>
      </c>
      <c r="CQ97" s="34">
        <v>690.04470500000002</v>
      </c>
      <c r="CR97" s="34">
        <v>232.83724359999997</v>
      </c>
      <c r="CS97" s="34">
        <v>57.439418000000003</v>
      </c>
      <c r="CT97" s="35">
        <v>46.941128000000006</v>
      </c>
      <c r="CU97" s="35">
        <v>84.21584639999999</v>
      </c>
      <c r="CV97" s="35">
        <v>86.409507800000014</v>
      </c>
      <c r="CW97" s="35">
        <v>49.845815999999999</v>
      </c>
      <c r="CX97" s="35">
        <v>0</v>
      </c>
      <c r="CY97" s="35">
        <v>70.246161599999994</v>
      </c>
      <c r="CZ97" s="35">
        <v>79.943556000000001</v>
      </c>
      <c r="DA97" s="35">
        <v>0</v>
      </c>
      <c r="DB97" s="35">
        <v>85.089270400000004</v>
      </c>
      <c r="DC97" s="35">
        <v>298.60963839999994</v>
      </c>
      <c r="DD97" s="35">
        <v>319.84516200000002</v>
      </c>
      <c r="DE97" s="35">
        <v>0</v>
      </c>
      <c r="DF97" s="35">
        <v>503.57450100000005</v>
      </c>
      <c r="DG97" s="35">
        <v>302.36179840000005</v>
      </c>
      <c r="DH97" s="35">
        <v>120.14342640000001</v>
      </c>
      <c r="DI97" s="35">
        <v>399.15</v>
      </c>
      <c r="DJ97" s="35">
        <v>329.19975839999995</v>
      </c>
      <c r="DK97" s="35">
        <v>197.25674700000002</v>
      </c>
      <c r="DL97" s="35">
        <v>130.91967600000001</v>
      </c>
      <c r="DM97" s="35">
        <v>136.27057200000002</v>
      </c>
      <c r="DN97" s="35">
        <v>173.401501</v>
      </c>
      <c r="DO97" s="35">
        <v>148.71217180000002</v>
      </c>
      <c r="DP97" s="35">
        <v>99.026586599999987</v>
      </c>
      <c r="DQ97" s="35">
        <v>28.916612000000004</v>
      </c>
      <c r="DR97" s="35">
        <v>514.10813999999993</v>
      </c>
      <c r="DS97" s="35">
        <v>69.568674000000001</v>
      </c>
      <c r="DT97" s="35">
        <v>201.52336500000001</v>
      </c>
      <c r="DU97" s="35">
        <v>603.39416759999995</v>
      </c>
      <c r="DV97" s="35">
        <v>82.322897999999995</v>
      </c>
      <c r="DW97" s="36">
        <v>33</v>
      </c>
      <c r="DX97" s="36">
        <v>40</v>
      </c>
      <c r="DY97" s="36">
        <v>230</v>
      </c>
      <c r="DZ97" s="36">
        <v>150</v>
      </c>
      <c r="EA97" s="36">
        <v>58</v>
      </c>
      <c r="EB97" s="29">
        <v>731</v>
      </c>
      <c r="EC97" s="29">
        <v>2310</v>
      </c>
      <c r="ED97" s="29">
        <v>206</v>
      </c>
      <c r="EE97" s="29">
        <v>112</v>
      </c>
      <c r="EF97" s="30">
        <v>1978</v>
      </c>
      <c r="EG97" s="30">
        <v>95</v>
      </c>
      <c r="EH97" s="30">
        <v>95</v>
      </c>
      <c r="EI97" s="30">
        <v>95</v>
      </c>
      <c r="EJ97" s="30">
        <v>95</v>
      </c>
      <c r="EK97" s="108">
        <v>49.6</v>
      </c>
      <c r="EL97" s="108">
        <v>4.1500000000000004</v>
      </c>
      <c r="EM97" s="108">
        <v>10.199999999999999</v>
      </c>
      <c r="EN97" s="108">
        <v>9.6999999999999993</v>
      </c>
      <c r="EO97" s="108">
        <v>11.6</v>
      </c>
      <c r="EP97" s="108"/>
      <c r="EQ97" s="113">
        <v>180000</v>
      </c>
      <c r="ER97" s="73">
        <v>288.49</v>
      </c>
      <c r="ES97" s="26">
        <v>1328.1133333333335</v>
      </c>
      <c r="ET97" s="26">
        <v>55.636666666666663</v>
      </c>
      <c r="EU97" s="26">
        <v>3017.0933333333337</v>
      </c>
      <c r="EV97" s="26">
        <v>538.96333333333325</v>
      </c>
      <c r="FB97" s="26">
        <v>0</v>
      </c>
      <c r="FC97" s="26">
        <v>0.18182072310405645</v>
      </c>
      <c r="FD97" s="26">
        <v>0</v>
      </c>
      <c r="FE97" s="26">
        <v>0</v>
      </c>
      <c r="FF97" s="26">
        <v>0</v>
      </c>
      <c r="FG97" s="26">
        <v>229.33414920634917</v>
      </c>
      <c r="FH97" s="26">
        <v>0.36542063492063487</v>
      </c>
      <c r="FI97" s="26">
        <v>0</v>
      </c>
      <c r="FJ97" s="74">
        <v>0</v>
      </c>
      <c r="FK97" s="74">
        <v>165.43472620610115</v>
      </c>
      <c r="FL97" s="74">
        <v>0</v>
      </c>
      <c r="FM97" s="74">
        <v>0</v>
      </c>
      <c r="FN97" s="74">
        <v>0</v>
      </c>
      <c r="FO97" s="74">
        <v>288.38975185185183</v>
      </c>
      <c r="FP97" s="26">
        <v>0</v>
      </c>
      <c r="FQ97" s="26">
        <v>0</v>
      </c>
      <c r="FR97" s="74">
        <v>0</v>
      </c>
      <c r="FS97" s="26">
        <v>1432.1920501234567</v>
      </c>
      <c r="FT97" s="26">
        <v>0</v>
      </c>
      <c r="FU97" s="26">
        <v>0</v>
      </c>
      <c r="FV97" s="26">
        <v>0</v>
      </c>
      <c r="FW97" s="26">
        <v>92.367632407407413</v>
      </c>
      <c r="FX97" s="26">
        <v>0</v>
      </c>
      <c r="FY97" s="26">
        <v>0</v>
      </c>
      <c r="FZ97" s="74">
        <v>0</v>
      </c>
      <c r="GA97" s="26">
        <v>49.597780000000007</v>
      </c>
      <c r="GB97" s="26">
        <v>0</v>
      </c>
      <c r="GC97" s="26">
        <v>0</v>
      </c>
      <c r="GD97"/>
    </row>
    <row r="98" spans="1:186" s="6" customFormat="1" x14ac:dyDescent="0.2">
      <c r="A98" s="60" t="s">
        <v>884</v>
      </c>
      <c r="B98" s="6" t="s">
        <v>224</v>
      </c>
      <c r="C98" s="6" t="s">
        <v>226</v>
      </c>
      <c r="D98" s="6" t="s">
        <v>876</v>
      </c>
      <c r="H98" s="6">
        <v>1</v>
      </c>
      <c r="I98" s="6">
        <v>1</v>
      </c>
      <c r="L98" s="6" t="s">
        <v>225</v>
      </c>
      <c r="M98" s="6" t="s">
        <v>885</v>
      </c>
      <c r="N98" s="6" t="s">
        <v>197</v>
      </c>
      <c r="O98" s="6" t="s">
        <v>671</v>
      </c>
      <c r="P98" s="6" t="s">
        <v>672</v>
      </c>
      <c r="T98">
        <v>4.6777052309765041</v>
      </c>
      <c r="U98">
        <v>4.8221928347942233</v>
      </c>
      <c r="V98">
        <v>7.5350369471874679</v>
      </c>
      <c r="W98">
        <v>5.4423539373359731</v>
      </c>
      <c r="X98">
        <v>0.80939988401265972</v>
      </c>
      <c r="Y98">
        <v>0.89570707691672224</v>
      </c>
      <c r="Z98"/>
      <c r="AA98"/>
      <c r="AB98" s="61"/>
      <c r="AC98" s="61"/>
      <c r="AD98" s="62"/>
      <c r="AE98" s="63"/>
      <c r="AF98" s="63"/>
      <c r="AG98" s="6" t="s">
        <v>224</v>
      </c>
      <c r="AH98" s="6" t="s">
        <v>225</v>
      </c>
      <c r="AI98" s="4">
        <v>300358</v>
      </c>
      <c r="AJ98" s="3" t="s">
        <v>226</v>
      </c>
      <c r="AK98" s="3" t="s">
        <v>197</v>
      </c>
      <c r="AL98" s="6">
        <v>129</v>
      </c>
      <c r="EK98"/>
      <c r="EL98"/>
      <c r="EM98"/>
      <c r="EN98"/>
      <c r="EO98"/>
      <c r="EP98"/>
      <c r="EQ98"/>
      <c r="EW98" s="6">
        <v>0</v>
      </c>
      <c r="EX98" s="6">
        <v>0</v>
      </c>
      <c r="EY98" s="65">
        <v>35.116666666666667</v>
      </c>
      <c r="EZ98" s="6">
        <v>34.159999999999997</v>
      </c>
      <c r="FA98" s="6">
        <v>70.160000000000011</v>
      </c>
      <c r="GD98"/>
    </row>
    <row r="99" spans="1:186" s="6" customFormat="1" x14ac:dyDescent="0.2">
      <c r="A99" s="60" t="s">
        <v>967</v>
      </c>
      <c r="B99" s="6" t="s">
        <v>206</v>
      </c>
      <c r="C99" s="6" t="s">
        <v>75</v>
      </c>
      <c r="D99" s="6" t="s">
        <v>805</v>
      </c>
      <c r="F99" s="6">
        <v>300304</v>
      </c>
      <c r="I99" s="6">
        <v>1</v>
      </c>
      <c r="J99" s="6">
        <v>1</v>
      </c>
      <c r="L99" s="6" t="s">
        <v>207</v>
      </c>
      <c r="M99" s="6" t="s">
        <v>966</v>
      </c>
      <c r="N99" s="6" t="s">
        <v>192</v>
      </c>
      <c r="O99" s="6" t="s">
        <v>671</v>
      </c>
      <c r="P99" s="6" t="s">
        <v>672</v>
      </c>
      <c r="T99">
        <v>0.43692992805703118</v>
      </c>
      <c r="U99">
        <v>0.42836738179763095</v>
      </c>
      <c r="V99">
        <v>0.50954735375634863</v>
      </c>
      <c r="W99">
        <v>0.5076179186691856</v>
      </c>
      <c r="X99">
        <v>0.90879585381830419</v>
      </c>
      <c r="Y99">
        <v>0.91851980253696797</v>
      </c>
      <c r="Z99"/>
      <c r="AA99"/>
      <c r="AB99" s="61"/>
      <c r="AC99" s="61"/>
      <c r="AD99" s="62"/>
      <c r="AE99" s="63"/>
      <c r="AF99" s="63"/>
      <c r="AG99" s="6" t="s">
        <v>206</v>
      </c>
      <c r="AH99" s="6" t="s">
        <v>207</v>
      </c>
      <c r="AI99" s="4">
        <v>300304</v>
      </c>
      <c r="AJ99" s="3" t="s">
        <v>75</v>
      </c>
      <c r="AK99" s="3" t="s">
        <v>192</v>
      </c>
      <c r="AL99" s="6">
        <v>62</v>
      </c>
      <c r="CT99" s="15">
        <v>0</v>
      </c>
      <c r="CU99" s="15">
        <v>0</v>
      </c>
      <c r="CV99" s="15">
        <v>90</v>
      </c>
      <c r="CW99" s="15">
        <v>50</v>
      </c>
      <c r="CX99" s="15">
        <v>0</v>
      </c>
      <c r="CY99" s="15">
        <v>48</v>
      </c>
      <c r="CZ99" s="15">
        <v>0</v>
      </c>
      <c r="DA99" s="15">
        <v>0</v>
      </c>
      <c r="DB99" s="15">
        <v>160</v>
      </c>
      <c r="DC99" s="15">
        <v>0</v>
      </c>
      <c r="DD99" s="15">
        <v>0</v>
      </c>
      <c r="DE99" s="15">
        <v>2200</v>
      </c>
      <c r="DF99" s="15">
        <v>65</v>
      </c>
      <c r="DG99" s="15">
        <v>0</v>
      </c>
      <c r="DH99" s="15">
        <v>110</v>
      </c>
      <c r="DI99" s="15">
        <v>0</v>
      </c>
      <c r="DJ99" s="15">
        <v>0</v>
      </c>
      <c r="DK99" s="15">
        <v>1000</v>
      </c>
      <c r="DL99" s="15">
        <v>210</v>
      </c>
      <c r="DM99" s="15">
        <v>460</v>
      </c>
      <c r="DN99" s="16">
        <v>310</v>
      </c>
      <c r="DO99" s="16">
        <v>53</v>
      </c>
      <c r="DP99" s="16">
        <v>87</v>
      </c>
      <c r="DQ99" s="16">
        <v>0</v>
      </c>
      <c r="DS99" s="16">
        <v>140</v>
      </c>
      <c r="DT99" s="16">
        <v>0</v>
      </c>
      <c r="DU99" s="16">
        <v>0</v>
      </c>
      <c r="DV99" s="16">
        <v>64</v>
      </c>
      <c r="DW99" s="15"/>
      <c r="DX99" s="15"/>
      <c r="DY99" s="15"/>
      <c r="DZ99" s="15"/>
      <c r="EA99" s="15"/>
      <c r="EB99" s="15"/>
      <c r="EC99" s="15"/>
      <c r="ED99" s="15"/>
      <c r="EE99" s="15"/>
      <c r="EF99" s="15"/>
      <c r="EG99" s="15"/>
      <c r="EH99" s="15"/>
      <c r="EI99" s="15"/>
      <c r="EJ99" s="15"/>
      <c r="EK99"/>
      <c r="EL99"/>
      <c r="EM99"/>
      <c r="EN99"/>
      <c r="EO99"/>
      <c r="EP99"/>
      <c r="EQ99"/>
      <c r="FB99" s="67"/>
      <c r="GD99"/>
    </row>
    <row r="100" spans="1:186" s="6" customFormat="1" x14ac:dyDescent="0.2">
      <c r="A100" s="60" t="s">
        <v>773</v>
      </c>
      <c r="B100" s="6" t="s">
        <v>161</v>
      </c>
      <c r="C100" s="6" t="s">
        <v>91</v>
      </c>
      <c r="D100" s="6" t="s">
        <v>255</v>
      </c>
      <c r="F100" s="6">
        <v>302095</v>
      </c>
      <c r="G100" s="6">
        <v>1</v>
      </c>
      <c r="I100" s="6">
        <v>1</v>
      </c>
      <c r="J100" s="6">
        <v>1</v>
      </c>
      <c r="L100" s="6" t="s">
        <v>220</v>
      </c>
      <c r="M100" s="6" t="s">
        <v>774</v>
      </c>
      <c r="N100" s="6" t="s">
        <v>188</v>
      </c>
      <c r="O100" s="6" t="s">
        <v>671</v>
      </c>
      <c r="P100" s="6" t="s">
        <v>672</v>
      </c>
      <c r="T100">
        <v>10000</v>
      </c>
      <c r="U100">
        <v>65.282046350482659</v>
      </c>
      <c r="V100">
        <v>10000</v>
      </c>
      <c r="W100">
        <v>250.63081260816057</v>
      </c>
      <c r="X100">
        <v>1.5624994263312597E-2</v>
      </c>
      <c r="Y100">
        <v>5.3843261813604625E-2</v>
      </c>
      <c r="Z100"/>
      <c r="AA100"/>
      <c r="AB100" s="61"/>
      <c r="AC100" s="61"/>
      <c r="AD100" s="62"/>
      <c r="AE100" s="63"/>
      <c r="AF100" s="63"/>
      <c r="AG100" s="6" t="s">
        <v>90</v>
      </c>
      <c r="AH100" s="6" t="s">
        <v>220</v>
      </c>
      <c r="AI100" s="2">
        <v>302095</v>
      </c>
      <c r="AJ100" s="3" t="s">
        <v>91</v>
      </c>
      <c r="AK100" s="3" t="s">
        <v>188</v>
      </c>
      <c r="AL100" s="6">
        <v>69</v>
      </c>
      <c r="AM100" s="6" t="s">
        <v>189</v>
      </c>
      <c r="DW100" s="19">
        <v>0</v>
      </c>
      <c r="DX100" s="19">
        <v>0</v>
      </c>
      <c r="DY100" s="19">
        <v>0</v>
      </c>
      <c r="DZ100" s="19">
        <v>0</v>
      </c>
      <c r="EA100" s="19">
        <v>0</v>
      </c>
      <c r="EB100" s="17">
        <v>0</v>
      </c>
      <c r="EC100" s="17">
        <v>0</v>
      </c>
      <c r="ED100" s="17">
        <v>0</v>
      </c>
      <c r="EE100" s="17">
        <v>0</v>
      </c>
      <c r="EF100" s="17"/>
      <c r="EG100" s="17"/>
      <c r="EH100" s="17"/>
      <c r="EI100" s="17"/>
      <c r="EJ100" s="19"/>
      <c r="EK100" s="106">
        <v>0.83</v>
      </c>
      <c r="EL100" s="106">
        <v>0.83</v>
      </c>
      <c r="EM100" s="106">
        <v>0.83</v>
      </c>
      <c r="EN100" s="106">
        <v>0.83</v>
      </c>
      <c r="EO100" s="106">
        <v>0.83</v>
      </c>
      <c r="EP100" s="106"/>
      <c r="EQ100" s="106"/>
      <c r="FB100" s="65"/>
      <c r="GD100"/>
    </row>
    <row r="101" spans="1:186" s="6" customFormat="1" x14ac:dyDescent="0.2">
      <c r="A101" s="60" t="s">
        <v>775</v>
      </c>
      <c r="B101" s="6" t="s">
        <v>85</v>
      </c>
      <c r="C101" s="6" t="s">
        <v>86</v>
      </c>
      <c r="D101" s="6" t="s">
        <v>255</v>
      </c>
      <c r="F101" s="6">
        <v>302096</v>
      </c>
      <c r="G101" s="6">
        <v>1</v>
      </c>
      <c r="I101" s="6">
        <v>1</v>
      </c>
      <c r="J101" s="6">
        <v>1</v>
      </c>
      <c r="L101" s="6" t="s">
        <v>205</v>
      </c>
      <c r="M101" s="6" t="s">
        <v>776</v>
      </c>
      <c r="N101" s="6" t="s">
        <v>188</v>
      </c>
      <c r="O101" s="6" t="s">
        <v>671</v>
      </c>
      <c r="P101" s="6" t="s">
        <v>672</v>
      </c>
      <c r="T101">
        <v>50.000003958825424</v>
      </c>
      <c r="U101">
        <v>39.10362312972174</v>
      </c>
      <c r="V101">
        <v>54.748818077880273</v>
      </c>
      <c r="W101">
        <v>10000</v>
      </c>
      <c r="X101">
        <v>6.6213542180152893E-2</v>
      </c>
      <c r="Y101">
        <v>0.13800121463963644</v>
      </c>
      <c r="Z101"/>
      <c r="AA101"/>
      <c r="AB101" s="52">
        <v>9.7400000000000004E-4</v>
      </c>
      <c r="AC101" s="53">
        <v>8.2299999999999995E-3</v>
      </c>
      <c r="AD101" s="54">
        <v>0.21099999999999999</v>
      </c>
      <c r="AE101" s="54">
        <v>2.31</v>
      </c>
      <c r="AF101" s="54">
        <v>0.56799999999999995</v>
      </c>
      <c r="AG101" s="6" t="s">
        <v>204</v>
      </c>
      <c r="AH101" s="6" t="s">
        <v>205</v>
      </c>
      <c r="AI101" s="2">
        <v>302096</v>
      </c>
      <c r="AJ101" s="3" t="s">
        <v>86</v>
      </c>
      <c r="AK101" s="3" t="s">
        <v>188</v>
      </c>
      <c r="AL101" s="6">
        <v>60</v>
      </c>
      <c r="AM101" s="6" t="s">
        <v>189</v>
      </c>
      <c r="DW101" s="19">
        <v>19</v>
      </c>
      <c r="DX101" s="19">
        <v>24</v>
      </c>
      <c r="DY101" s="19">
        <v>39</v>
      </c>
      <c r="DZ101" s="19">
        <v>18</v>
      </c>
      <c r="EA101" s="19">
        <v>17</v>
      </c>
      <c r="EB101" s="17">
        <v>15.7</v>
      </c>
      <c r="EC101" s="17">
        <v>41.7</v>
      </c>
      <c r="ED101" s="17">
        <v>17.8</v>
      </c>
      <c r="EE101" s="17">
        <v>23.7</v>
      </c>
      <c r="EF101" s="17"/>
      <c r="EG101" s="17"/>
      <c r="EH101" s="17"/>
      <c r="EI101" s="17"/>
      <c r="EJ101" s="19"/>
      <c r="EK101" s="106">
        <v>159</v>
      </c>
      <c r="EL101" s="106">
        <v>18.3</v>
      </c>
      <c r="EM101" s="106">
        <v>44.1</v>
      </c>
      <c r="EN101" s="106">
        <v>48.1</v>
      </c>
      <c r="EO101" s="106">
        <v>50</v>
      </c>
      <c r="EP101" s="106"/>
      <c r="EQ101" s="106"/>
      <c r="GD101"/>
    </row>
    <row r="102" spans="1:186" s="6" customFormat="1" x14ac:dyDescent="0.2">
      <c r="A102" s="60" t="s">
        <v>777</v>
      </c>
      <c r="B102" s="6" t="s">
        <v>87</v>
      </c>
      <c r="C102" s="6" t="s">
        <v>88</v>
      </c>
      <c r="D102" s="6" t="s">
        <v>255</v>
      </c>
      <c r="F102" s="6">
        <v>302097</v>
      </c>
      <c r="G102" s="6">
        <v>1</v>
      </c>
      <c r="I102" s="6">
        <v>1</v>
      </c>
      <c r="J102" s="6">
        <v>1</v>
      </c>
      <c r="L102" s="6" t="s">
        <v>211</v>
      </c>
      <c r="M102" s="6" t="s">
        <v>778</v>
      </c>
      <c r="N102" s="6" t="s">
        <v>188</v>
      </c>
      <c r="O102" s="6" t="s">
        <v>671</v>
      </c>
      <c r="P102" s="6" t="s">
        <v>672</v>
      </c>
      <c r="T102">
        <v>54.053449130494229</v>
      </c>
      <c r="U102">
        <v>10000</v>
      </c>
      <c r="V102">
        <v>59.507026055371817</v>
      </c>
      <c r="W102">
        <v>10000</v>
      </c>
      <c r="X102">
        <v>1.9191506883210415E-2</v>
      </c>
      <c r="Y102">
        <v>6.7708327900500007E-2</v>
      </c>
      <c r="Z102"/>
      <c r="AA102"/>
      <c r="AB102" s="52">
        <v>9.7099999999999997E-4</v>
      </c>
      <c r="AC102" s="53">
        <v>8.2100000000000003E-3</v>
      </c>
      <c r="AD102" s="54">
        <v>0.21</v>
      </c>
      <c r="AE102" s="54">
        <v>2.2999999999999998</v>
      </c>
      <c r="AF102" s="54">
        <v>0.57599999999999996</v>
      </c>
      <c r="AG102" s="6" t="s">
        <v>87</v>
      </c>
      <c r="AH102" s="6" t="s">
        <v>211</v>
      </c>
      <c r="AI102" s="2">
        <v>302097</v>
      </c>
      <c r="AJ102" s="3" t="s">
        <v>88</v>
      </c>
      <c r="AK102" s="3" t="s">
        <v>188</v>
      </c>
      <c r="AL102" s="6">
        <v>64</v>
      </c>
      <c r="AM102" s="6" t="s">
        <v>189</v>
      </c>
      <c r="DW102" s="19">
        <v>21</v>
      </c>
      <c r="DX102" s="19">
        <v>25</v>
      </c>
      <c r="DY102" s="19">
        <v>43</v>
      </c>
      <c r="DZ102" s="19">
        <v>20</v>
      </c>
      <c r="EA102" s="19">
        <v>15</v>
      </c>
      <c r="EB102" s="17">
        <v>16.5</v>
      </c>
      <c r="EC102" s="17">
        <v>37.6</v>
      </c>
      <c r="ED102" s="17">
        <v>14.5</v>
      </c>
      <c r="EE102" s="17">
        <v>18.8</v>
      </c>
      <c r="EF102" s="17"/>
      <c r="EG102" s="17"/>
      <c r="EH102" s="17"/>
      <c r="EI102" s="17"/>
      <c r="EJ102" s="19"/>
      <c r="EK102" s="106">
        <v>136</v>
      </c>
      <c r="EL102" s="106">
        <v>15.9</v>
      </c>
      <c r="EM102" s="106">
        <v>39.299999999999997</v>
      </c>
      <c r="EN102" s="106">
        <v>42.6</v>
      </c>
      <c r="EO102" s="106">
        <v>46.4</v>
      </c>
      <c r="EP102" s="106"/>
      <c r="EQ102" s="106"/>
      <c r="FB102" s="65"/>
      <c r="GD102"/>
    </row>
    <row r="103" spans="1:186" s="6" customFormat="1" x14ac:dyDescent="0.2">
      <c r="A103" s="60" t="s">
        <v>952</v>
      </c>
      <c r="B103" s="6" t="s">
        <v>1017</v>
      </c>
      <c r="C103" s="6" t="s">
        <v>540</v>
      </c>
      <c r="D103" s="6" t="s">
        <v>876</v>
      </c>
      <c r="I103" s="6">
        <v>1</v>
      </c>
      <c r="L103" s="6" t="s">
        <v>536</v>
      </c>
      <c r="M103" s="6" t="s">
        <v>1018</v>
      </c>
      <c r="N103" s="6" t="s">
        <v>197</v>
      </c>
      <c r="O103" s="6" t="s">
        <v>671</v>
      </c>
      <c r="P103" s="6" t="s">
        <v>672</v>
      </c>
      <c r="T103">
        <v>694.70507780063872</v>
      </c>
      <c r="U103">
        <v>10000</v>
      </c>
      <c r="V103">
        <v>10000</v>
      </c>
      <c r="W103">
        <v>10000</v>
      </c>
      <c r="X103">
        <v>7.8124993478782725E-2</v>
      </c>
      <c r="Y103">
        <v>0.13400354810307455</v>
      </c>
      <c r="Z103"/>
      <c r="AA103"/>
      <c r="AB103" s="61"/>
      <c r="AC103" s="61"/>
      <c r="AD103" s="62"/>
      <c r="AE103" s="63"/>
      <c r="AF103" s="63"/>
      <c r="AG103" s="6" t="s">
        <v>538</v>
      </c>
      <c r="AH103" s="6" t="s">
        <v>539</v>
      </c>
      <c r="AI103" s="2"/>
      <c r="AJ103" s="3" t="s">
        <v>540</v>
      </c>
      <c r="AK103" s="3" t="s">
        <v>197</v>
      </c>
      <c r="AL103" s="6">
        <v>3091</v>
      </c>
      <c r="EK103"/>
      <c r="EL103"/>
      <c r="EM103"/>
      <c r="EN103"/>
      <c r="EO103"/>
      <c r="EP103"/>
      <c r="EQ103"/>
      <c r="GD103"/>
    </row>
    <row r="104" spans="1:186" s="6" customFormat="1" x14ac:dyDescent="0.2">
      <c r="A104" s="60" t="s">
        <v>811</v>
      </c>
      <c r="B104" s="6" t="s">
        <v>345</v>
      </c>
      <c r="C104" s="6" t="s">
        <v>55</v>
      </c>
      <c r="D104" s="6" t="s">
        <v>799</v>
      </c>
      <c r="F104" s="6">
        <v>300301</v>
      </c>
      <c r="H104" s="6">
        <v>1</v>
      </c>
      <c r="I104" s="6">
        <v>1</v>
      </c>
      <c r="J104" s="6">
        <v>1</v>
      </c>
      <c r="L104" s="6" t="s">
        <v>343</v>
      </c>
      <c r="M104" s="6" t="s">
        <v>812</v>
      </c>
      <c r="N104" s="6" t="s">
        <v>192</v>
      </c>
      <c r="O104" s="6" t="s">
        <v>671</v>
      </c>
      <c r="P104" s="6" t="s">
        <v>672</v>
      </c>
      <c r="T104">
        <v>3.0106419792285304</v>
      </c>
      <c r="U104">
        <v>2.6200834527800714</v>
      </c>
      <c r="V104">
        <v>19.302493828285542</v>
      </c>
      <c r="W104">
        <v>9.8224327565315956</v>
      </c>
      <c r="X104">
        <v>0.51158033116426704</v>
      </c>
      <c r="Y104">
        <v>0.77382931926959742</v>
      </c>
      <c r="Z104"/>
      <c r="AA104"/>
      <c r="AB104" s="61"/>
      <c r="AC104" s="61"/>
      <c r="AD104" s="62"/>
      <c r="AE104" s="63"/>
      <c r="AF104" s="63"/>
      <c r="AG104" s="6" t="s">
        <v>345</v>
      </c>
      <c r="AH104" s="6" t="s">
        <v>346</v>
      </c>
      <c r="AI104" s="4">
        <v>300301</v>
      </c>
      <c r="AJ104" s="3" t="s">
        <v>55</v>
      </c>
      <c r="AK104" s="3" t="s">
        <v>192</v>
      </c>
      <c r="AL104" s="6">
        <v>596</v>
      </c>
      <c r="AM104" s="6" t="s">
        <v>193</v>
      </c>
      <c r="AN104" s="4" t="s">
        <v>347</v>
      </c>
      <c r="CT104" s="15">
        <v>31</v>
      </c>
      <c r="CU104" s="15">
        <v>37</v>
      </c>
      <c r="CV104" s="15">
        <v>0</v>
      </c>
      <c r="CW104" s="15">
        <v>0</v>
      </c>
      <c r="CX104" s="15">
        <v>0</v>
      </c>
      <c r="CY104" s="15">
        <v>0</v>
      </c>
      <c r="CZ104" s="15">
        <v>0</v>
      </c>
      <c r="DA104" s="15">
        <v>0</v>
      </c>
      <c r="DB104" s="15">
        <v>0</v>
      </c>
      <c r="DC104" s="15">
        <v>0</v>
      </c>
      <c r="DD104" s="15">
        <v>0</v>
      </c>
      <c r="DE104" s="15">
        <v>0</v>
      </c>
      <c r="DF104" s="15">
        <v>0</v>
      </c>
      <c r="DG104" s="15">
        <v>0</v>
      </c>
      <c r="DH104" s="15">
        <v>0</v>
      </c>
      <c r="DI104" s="15">
        <v>0</v>
      </c>
      <c r="DJ104" s="15">
        <v>0</v>
      </c>
      <c r="DK104" s="15">
        <v>0</v>
      </c>
      <c r="DL104" s="15">
        <v>40</v>
      </c>
      <c r="DM104" s="15">
        <v>0</v>
      </c>
      <c r="DN104" s="16">
        <v>0</v>
      </c>
      <c r="DO104" s="16">
        <v>49</v>
      </c>
      <c r="DP104" s="16">
        <v>33</v>
      </c>
      <c r="DQ104" s="16">
        <v>0</v>
      </c>
      <c r="DS104" s="16">
        <v>0</v>
      </c>
      <c r="DT104" s="16">
        <v>0</v>
      </c>
      <c r="DU104" s="16">
        <v>71</v>
      </c>
      <c r="DV104" s="16">
        <v>0</v>
      </c>
      <c r="DW104" s="15"/>
      <c r="DX104" s="15"/>
      <c r="DY104" s="15"/>
      <c r="DZ104" s="15"/>
      <c r="EA104" s="15"/>
      <c r="EB104" s="15"/>
      <c r="EC104" s="15"/>
      <c r="ED104" s="15"/>
      <c r="EE104" s="15"/>
      <c r="EF104" s="15"/>
      <c r="EG104" s="15"/>
      <c r="EH104" s="15"/>
      <c r="EI104" s="15"/>
      <c r="EJ104" s="15"/>
      <c r="EK104"/>
      <c r="EL104"/>
      <c r="EM104"/>
      <c r="EN104"/>
      <c r="EO104"/>
      <c r="EP104"/>
      <c r="EQ104"/>
      <c r="ER104" s="65">
        <v>7187.2366666666667</v>
      </c>
      <c r="ES104" s="6">
        <v>5198.8933333333334</v>
      </c>
      <c r="ET104" s="6">
        <v>4470.3933333333334</v>
      </c>
      <c r="EU104" s="6">
        <v>3492.9766666666669</v>
      </c>
      <c r="EV104" s="6">
        <v>7694.746666666666</v>
      </c>
      <c r="FB104" s="65"/>
      <c r="GD104"/>
    </row>
    <row r="105" spans="1:186" s="6" customFormat="1" x14ac:dyDescent="0.2">
      <c r="A105" s="60" t="s">
        <v>771</v>
      </c>
      <c r="B105" s="6" t="s">
        <v>89</v>
      </c>
      <c r="C105" s="6" t="s">
        <v>37</v>
      </c>
      <c r="D105" s="6" t="s">
        <v>255</v>
      </c>
      <c r="F105" s="6">
        <v>300387</v>
      </c>
      <c r="G105" s="6">
        <v>1</v>
      </c>
      <c r="I105" s="6">
        <v>1</v>
      </c>
      <c r="J105" s="6">
        <v>1</v>
      </c>
      <c r="L105" s="6" t="s">
        <v>187</v>
      </c>
      <c r="M105" s="6" t="s">
        <v>772</v>
      </c>
      <c r="N105" s="6" t="s">
        <v>188</v>
      </c>
      <c r="O105" s="6" t="s">
        <v>671</v>
      </c>
      <c r="P105" s="6" t="s">
        <v>672</v>
      </c>
      <c r="T105">
        <v>10000</v>
      </c>
      <c r="U105">
        <v>287.10309779024897</v>
      </c>
      <c r="V105">
        <v>10000</v>
      </c>
      <c r="W105">
        <v>505.43573228670243</v>
      </c>
      <c r="X105">
        <v>4.1666660557333396E-2</v>
      </c>
      <c r="Y105">
        <v>0.10416665728637284</v>
      </c>
      <c r="Z105"/>
      <c r="AA105"/>
      <c r="AB105" s="53">
        <v>9.7000000000000005E-4</v>
      </c>
      <c r="AC105" s="53">
        <v>8.2799999999999992E-3</v>
      </c>
      <c r="AD105" s="54">
        <v>0.20599999999999999</v>
      </c>
      <c r="AE105" s="87">
        <v>2.31</v>
      </c>
      <c r="AF105" s="87">
        <v>0.59199999999999997</v>
      </c>
      <c r="AG105" s="6" t="s">
        <v>186</v>
      </c>
      <c r="AH105" s="6" t="s">
        <v>187</v>
      </c>
      <c r="AI105" s="2">
        <v>300387</v>
      </c>
      <c r="AJ105" s="3" t="s">
        <v>37</v>
      </c>
      <c r="AK105" s="3" t="s">
        <v>188</v>
      </c>
      <c r="AL105" s="6">
        <v>53</v>
      </c>
      <c r="AM105" s="6" t="s">
        <v>189</v>
      </c>
      <c r="AO105" s="9">
        <v>25.48</v>
      </c>
      <c r="AP105" s="9">
        <v>0</v>
      </c>
      <c r="AQ105" s="9">
        <v>0</v>
      </c>
      <c r="AR105" s="9">
        <v>0</v>
      </c>
      <c r="AS105" s="9">
        <v>75.52</v>
      </c>
      <c r="AT105" s="9">
        <v>0</v>
      </c>
      <c r="AU105" s="9">
        <v>0</v>
      </c>
      <c r="AV105" s="9">
        <v>0</v>
      </c>
      <c r="AW105" s="9">
        <v>0</v>
      </c>
      <c r="AX105" s="9">
        <v>0</v>
      </c>
      <c r="AY105" s="9">
        <v>0</v>
      </c>
      <c r="AZ105" s="9">
        <v>0</v>
      </c>
      <c r="BA105" s="10">
        <v>15.345538999999999</v>
      </c>
      <c r="BB105" s="10">
        <v>0</v>
      </c>
      <c r="BC105" s="10">
        <v>0</v>
      </c>
      <c r="BD105" s="10">
        <v>27.582085599999996</v>
      </c>
      <c r="BE105" s="10">
        <v>52.891066799999997</v>
      </c>
      <c r="BF105" s="10">
        <v>0</v>
      </c>
      <c r="BG105" s="10">
        <v>0</v>
      </c>
      <c r="BH105" s="10">
        <v>34.640933799999999</v>
      </c>
      <c r="BI105" s="10">
        <v>30.473729399999996</v>
      </c>
      <c r="BJ105" s="10">
        <v>27.602124800000002</v>
      </c>
      <c r="BK105" s="10">
        <v>30.273187199999999</v>
      </c>
      <c r="BL105" s="10">
        <v>29.584050000000001</v>
      </c>
      <c r="BM105" s="10">
        <v>21.494707200000001</v>
      </c>
      <c r="BN105" s="11">
        <v>0</v>
      </c>
      <c r="BO105" s="11">
        <v>0</v>
      </c>
      <c r="BP105" s="11">
        <v>0</v>
      </c>
      <c r="BQ105" s="11">
        <v>0</v>
      </c>
      <c r="BR105" s="11">
        <v>24.506792199999996</v>
      </c>
      <c r="BS105" s="11">
        <v>0</v>
      </c>
      <c r="BT105" s="11">
        <v>0</v>
      </c>
      <c r="BU105" s="11">
        <v>0</v>
      </c>
      <c r="BV105" s="11">
        <v>0</v>
      </c>
      <c r="BW105" s="11">
        <v>0</v>
      </c>
      <c r="BX105" s="11">
        <v>0</v>
      </c>
      <c r="BY105" s="11">
        <v>0</v>
      </c>
      <c r="BZ105" s="11">
        <v>0</v>
      </c>
      <c r="CA105" s="11">
        <v>0</v>
      </c>
      <c r="CB105" s="11">
        <v>0</v>
      </c>
      <c r="CC105" s="11">
        <v>0</v>
      </c>
      <c r="CD105" s="11">
        <v>0</v>
      </c>
      <c r="CE105" s="11">
        <v>0</v>
      </c>
      <c r="CF105" s="11">
        <v>0</v>
      </c>
      <c r="CG105" s="11">
        <v>0</v>
      </c>
      <c r="CH105" s="11">
        <v>0</v>
      </c>
      <c r="CI105" s="11">
        <v>46.376683000000007</v>
      </c>
      <c r="CJ105" s="11">
        <v>10.087389</v>
      </c>
      <c r="CK105" s="11">
        <v>0</v>
      </c>
      <c r="CL105" s="11">
        <v>5.0689451999999999</v>
      </c>
      <c r="CM105" s="11">
        <v>0</v>
      </c>
      <c r="CN105" s="11">
        <v>9.2165724000000004</v>
      </c>
      <c r="CO105" s="11">
        <v>0</v>
      </c>
      <c r="CP105" s="11">
        <v>5.4902812000000001</v>
      </c>
      <c r="CQ105" s="11">
        <v>0</v>
      </c>
      <c r="CR105" s="11">
        <v>0</v>
      </c>
      <c r="CS105" s="11">
        <v>0</v>
      </c>
      <c r="CT105" s="18">
        <v>0</v>
      </c>
      <c r="CU105" s="18">
        <v>0</v>
      </c>
      <c r="CV105" s="18">
        <v>18.782859999999999</v>
      </c>
      <c r="CW105" s="18">
        <v>0</v>
      </c>
      <c r="CX105" s="18">
        <v>0</v>
      </c>
      <c r="CY105" s="18">
        <v>7.6664403999999999</v>
      </c>
      <c r="CZ105" s="18">
        <v>169.48652159999997</v>
      </c>
      <c r="DA105" s="18">
        <v>103.53070079999999</v>
      </c>
      <c r="DB105" s="18">
        <v>0</v>
      </c>
      <c r="DC105" s="18">
        <v>0</v>
      </c>
      <c r="DD105" s="18">
        <v>0</v>
      </c>
      <c r="DE105" s="18">
        <v>0</v>
      </c>
      <c r="DF105" s="18">
        <v>0</v>
      </c>
      <c r="DG105" s="18">
        <v>0</v>
      </c>
      <c r="DH105" s="18">
        <v>0</v>
      </c>
      <c r="DI105" s="18">
        <v>0</v>
      </c>
      <c r="DJ105" s="18">
        <v>0</v>
      </c>
      <c r="DK105" s="18">
        <v>22.915528400000003</v>
      </c>
      <c r="DL105" s="18">
        <v>11.280620799999999</v>
      </c>
      <c r="DM105" s="18">
        <v>11.2861026</v>
      </c>
      <c r="DN105" s="18">
        <v>0</v>
      </c>
      <c r="DO105" s="18">
        <v>0</v>
      </c>
      <c r="DP105" s="18">
        <v>0</v>
      </c>
      <c r="DQ105" s="18">
        <v>5.5319304000000002</v>
      </c>
      <c r="DR105" s="18">
        <v>6.2840748000000008</v>
      </c>
      <c r="DS105" s="18">
        <v>0</v>
      </c>
      <c r="DT105" s="18">
        <v>0</v>
      </c>
      <c r="DU105" s="18">
        <v>17.544009599999999</v>
      </c>
      <c r="DV105" s="18">
        <v>0</v>
      </c>
      <c r="DW105" s="19">
        <v>27</v>
      </c>
      <c r="DX105" s="19">
        <v>28</v>
      </c>
      <c r="DY105" s="19">
        <v>42</v>
      </c>
      <c r="DZ105" s="19">
        <v>19</v>
      </c>
      <c r="EA105" s="19">
        <v>14</v>
      </c>
      <c r="EB105" s="17">
        <v>17.2</v>
      </c>
      <c r="EC105" s="17">
        <v>42.6</v>
      </c>
      <c r="ED105" s="17">
        <v>12.5</v>
      </c>
      <c r="EE105" s="17">
        <v>16.7</v>
      </c>
      <c r="EF105" s="17"/>
      <c r="EG105" s="17"/>
      <c r="EH105" s="17"/>
      <c r="EI105" s="17"/>
      <c r="EJ105" s="19"/>
      <c r="EK105" s="106">
        <v>177</v>
      </c>
      <c r="EL105" s="106">
        <v>22.9</v>
      </c>
      <c r="EM105" s="106">
        <v>55</v>
      </c>
      <c r="EN105" s="106">
        <v>60.8</v>
      </c>
      <c r="EO105" s="106">
        <v>63.5</v>
      </c>
      <c r="EP105" s="106"/>
      <c r="EQ105" s="106"/>
      <c r="FB105" s="75"/>
      <c r="GD105"/>
    </row>
    <row r="106" spans="1:186" s="6" customFormat="1" x14ac:dyDescent="0.2">
      <c r="A106" s="60" t="s">
        <v>769</v>
      </c>
      <c r="B106" s="6" t="s">
        <v>160</v>
      </c>
      <c r="C106" s="6" t="s">
        <v>38</v>
      </c>
      <c r="D106" s="6" t="s">
        <v>255</v>
      </c>
      <c r="F106" s="6">
        <v>300386</v>
      </c>
      <c r="G106" s="6">
        <v>1</v>
      </c>
      <c r="I106" s="6">
        <v>1</v>
      </c>
      <c r="J106" s="6">
        <v>1</v>
      </c>
      <c r="L106" s="6" t="s">
        <v>216</v>
      </c>
      <c r="M106" s="6" t="s">
        <v>770</v>
      </c>
      <c r="N106" s="6" t="s">
        <v>188</v>
      </c>
      <c r="O106" s="6" t="s">
        <v>671</v>
      </c>
      <c r="P106" s="6" t="s">
        <v>672</v>
      </c>
      <c r="T106">
        <v>52.962370166506162</v>
      </c>
      <c r="U106">
        <v>56.816807936628194</v>
      </c>
      <c r="V106">
        <v>87.043316223950853</v>
      </c>
      <c r="W106">
        <v>102.77872066412169</v>
      </c>
      <c r="X106">
        <v>3.377190627018524E-2</v>
      </c>
      <c r="Y106">
        <v>8.3448856087681295E-2</v>
      </c>
      <c r="Z106"/>
      <c r="AA106"/>
      <c r="AB106" s="61"/>
      <c r="AC106" s="61"/>
      <c r="AD106" s="62"/>
      <c r="AE106" s="63"/>
      <c r="AF106" s="63"/>
      <c r="AG106" s="6" t="s">
        <v>215</v>
      </c>
      <c r="AH106" s="6" t="s">
        <v>216</v>
      </c>
      <c r="AI106" s="2">
        <v>300386</v>
      </c>
      <c r="AJ106" s="3" t="s">
        <v>38</v>
      </c>
      <c r="AK106" s="3" t="s">
        <v>188</v>
      </c>
      <c r="AL106" s="6">
        <v>66</v>
      </c>
      <c r="AM106" s="6" t="s">
        <v>189</v>
      </c>
      <c r="AO106" s="9">
        <v>12.53</v>
      </c>
      <c r="AP106" s="9">
        <v>41.39</v>
      </c>
      <c r="AQ106" s="9">
        <v>59.75</v>
      </c>
      <c r="AR106" s="9">
        <v>56.99</v>
      </c>
      <c r="AS106" s="9">
        <v>186.75</v>
      </c>
      <c r="AT106" s="9">
        <v>33.46</v>
      </c>
      <c r="AU106" s="9">
        <v>13.01</v>
      </c>
      <c r="AV106" s="9">
        <v>89.14</v>
      </c>
      <c r="AW106" s="9">
        <v>81.42</v>
      </c>
      <c r="AX106" s="9">
        <v>90.96</v>
      </c>
      <c r="AY106" s="9">
        <v>90.96</v>
      </c>
      <c r="AZ106" s="9">
        <v>33.369999999999997</v>
      </c>
      <c r="BA106" s="10">
        <v>29.347937799999997</v>
      </c>
      <c r="BB106" s="10">
        <v>49.955706399999997</v>
      </c>
      <c r="BC106" s="10">
        <v>35.900122399999994</v>
      </c>
      <c r="BD106" s="10">
        <v>70.744339999999994</v>
      </c>
      <c r="BE106" s="10">
        <v>139.6604572</v>
      </c>
      <c r="BF106" s="10">
        <v>65.205884400000002</v>
      </c>
      <c r="BG106" s="10">
        <v>46.673989999999996</v>
      </c>
      <c r="BH106" s="10">
        <v>97.765553400000002</v>
      </c>
      <c r="BI106" s="10">
        <v>85.650973199999981</v>
      </c>
      <c r="BJ106" s="10">
        <v>75.178052800000003</v>
      </c>
      <c r="BK106" s="10">
        <v>85.283168000000003</v>
      </c>
      <c r="BL106" s="10">
        <v>86.562575999999993</v>
      </c>
      <c r="BM106" s="10">
        <v>69.542092799999992</v>
      </c>
      <c r="BN106" s="11">
        <v>14.969497</v>
      </c>
      <c r="BO106" s="11">
        <v>20.718683599999999</v>
      </c>
      <c r="BP106" s="11">
        <v>24.208280799999997</v>
      </c>
      <c r="BQ106" s="11">
        <v>29.6620308</v>
      </c>
      <c r="BR106" s="11">
        <v>61.561895999999997</v>
      </c>
      <c r="BS106" s="11">
        <v>21.0199596</v>
      </c>
      <c r="BT106" s="11">
        <v>33.732011999999997</v>
      </c>
      <c r="BU106" s="11">
        <v>24.213815999999998</v>
      </c>
      <c r="BV106" s="11">
        <v>17.235293800000001</v>
      </c>
      <c r="BW106" s="11">
        <v>16.2608344</v>
      </c>
      <c r="BX106" s="11">
        <v>14.1116802</v>
      </c>
      <c r="BY106" s="11">
        <v>23.9877088</v>
      </c>
      <c r="BZ106" s="11">
        <v>28.3668336</v>
      </c>
      <c r="CA106" s="11">
        <v>16.0428772</v>
      </c>
      <c r="CB106" s="11">
        <v>32.123710000000003</v>
      </c>
      <c r="CC106" s="11">
        <v>31.433047800000001</v>
      </c>
      <c r="CD106" s="11">
        <v>17.726279999999999</v>
      </c>
      <c r="CE106" s="11">
        <v>46.199513400000001</v>
      </c>
      <c r="CF106" s="11">
        <v>37.789256000000009</v>
      </c>
      <c r="CG106" s="11">
        <v>50.313395200000002</v>
      </c>
      <c r="CH106" s="11">
        <v>42.796145600000003</v>
      </c>
      <c r="CI106" s="11">
        <v>152.27971600000004</v>
      </c>
      <c r="CJ106" s="11">
        <v>43.619261399999999</v>
      </c>
      <c r="CK106" s="11">
        <v>61.012259999999991</v>
      </c>
      <c r="CL106" s="11">
        <v>25.549905599999999</v>
      </c>
      <c r="CM106" s="11">
        <v>15.003014199999999</v>
      </c>
      <c r="CN106" s="11">
        <v>32.185456800000004</v>
      </c>
      <c r="CO106" s="11">
        <v>11.014442400000002</v>
      </c>
      <c r="CP106" s="11">
        <v>21.441917799999999</v>
      </c>
      <c r="CQ106" s="11">
        <v>32.831487999999993</v>
      </c>
      <c r="CR106" s="11">
        <v>25.721747999999998</v>
      </c>
      <c r="CS106" s="11">
        <v>16.8769314</v>
      </c>
      <c r="CT106" s="18">
        <v>18.0630892</v>
      </c>
      <c r="CU106" s="18">
        <v>11.427419199999999</v>
      </c>
      <c r="CV106" s="18">
        <v>69.819048800000004</v>
      </c>
      <c r="CW106" s="18">
        <v>40.317913400000002</v>
      </c>
      <c r="CX106" s="18">
        <v>17.491918399999999</v>
      </c>
      <c r="CY106" s="18">
        <v>16.691898999999999</v>
      </c>
      <c r="CZ106" s="18">
        <v>722.04709679999996</v>
      </c>
      <c r="DA106" s="18">
        <v>333.18142559999995</v>
      </c>
      <c r="DB106" s="18">
        <v>15.087544800000002</v>
      </c>
      <c r="DC106" s="18">
        <v>31.228022400000004</v>
      </c>
      <c r="DD106" s="18">
        <v>0</v>
      </c>
      <c r="DE106" s="18">
        <v>64.570425600000007</v>
      </c>
      <c r="DF106" s="18">
        <v>20.4619252</v>
      </c>
      <c r="DG106" s="18">
        <v>62.406450000000007</v>
      </c>
      <c r="DH106" s="18">
        <v>20.866213399999999</v>
      </c>
      <c r="DI106" s="18">
        <v>7.3393320000000006</v>
      </c>
      <c r="DJ106" s="18">
        <v>14.687991</v>
      </c>
      <c r="DK106" s="18">
        <v>74.610612799999998</v>
      </c>
      <c r="DL106" s="18">
        <v>44.637036800000004</v>
      </c>
      <c r="DM106" s="18">
        <v>50.185429199999994</v>
      </c>
      <c r="DN106" s="18">
        <v>44.396038199999992</v>
      </c>
      <c r="DO106" s="18">
        <v>13.427805599999999</v>
      </c>
      <c r="DP106" s="18">
        <v>18.174500399999999</v>
      </c>
      <c r="DQ106" s="18">
        <v>19.5009066</v>
      </c>
      <c r="DR106" s="18">
        <v>14.570815000000001</v>
      </c>
      <c r="DS106" s="18">
        <v>51.52602000000001</v>
      </c>
      <c r="DT106" s="18">
        <v>19.432570800000001</v>
      </c>
      <c r="DU106" s="18">
        <v>23.509324799999998</v>
      </c>
      <c r="DV106" s="18">
        <v>23.162505599999999</v>
      </c>
      <c r="DW106" s="19">
        <v>160</v>
      </c>
      <c r="DX106" s="19">
        <v>180</v>
      </c>
      <c r="DY106" s="19">
        <v>200</v>
      </c>
      <c r="DZ106" s="19">
        <v>120</v>
      </c>
      <c r="EA106" s="19">
        <v>89</v>
      </c>
      <c r="EB106" s="17">
        <v>105</v>
      </c>
      <c r="EC106" s="17">
        <v>188</v>
      </c>
      <c r="ED106" s="17">
        <v>116</v>
      </c>
      <c r="EE106" s="17">
        <v>148</v>
      </c>
      <c r="EF106" s="17"/>
      <c r="EG106" s="17"/>
      <c r="EH106" s="17"/>
      <c r="EI106" s="17"/>
      <c r="EJ106" s="19"/>
      <c r="EK106"/>
      <c r="EL106"/>
      <c r="EM106"/>
      <c r="EN106"/>
      <c r="EO106"/>
      <c r="EP106"/>
      <c r="EQ106"/>
      <c r="FI106" s="65"/>
      <c r="GD106"/>
    </row>
    <row r="107" spans="1:186" s="6" customFormat="1" x14ac:dyDescent="0.2">
      <c r="A107" s="60" t="s">
        <v>882</v>
      </c>
      <c r="B107" s="6" t="s">
        <v>212</v>
      </c>
      <c r="C107" s="6" t="s">
        <v>214</v>
      </c>
      <c r="D107" s="6" t="s">
        <v>876</v>
      </c>
      <c r="H107" s="6">
        <v>1</v>
      </c>
      <c r="I107" s="6">
        <v>1</v>
      </c>
      <c r="L107" s="6" t="s">
        <v>213</v>
      </c>
      <c r="M107" s="6" t="s">
        <v>883</v>
      </c>
      <c r="N107" s="6" t="s">
        <v>197</v>
      </c>
      <c r="O107" s="6" t="s">
        <v>671</v>
      </c>
      <c r="P107" s="6" t="s">
        <v>672</v>
      </c>
      <c r="T107">
        <v>10000</v>
      </c>
      <c r="U107">
        <v>10000</v>
      </c>
      <c r="V107">
        <v>10000</v>
      </c>
      <c r="W107">
        <v>10000</v>
      </c>
      <c r="X107">
        <v>0.16145832765374951</v>
      </c>
      <c r="Y107">
        <v>0.17187499769653597</v>
      </c>
      <c r="Z107" s="64">
        <v>192</v>
      </c>
      <c r="AA107" s="64"/>
      <c r="AB107" s="61"/>
      <c r="AC107" s="61"/>
      <c r="AD107" s="62"/>
      <c r="AE107" s="63"/>
      <c r="AF107" s="63"/>
      <c r="AG107" s="6" t="s">
        <v>212</v>
      </c>
      <c r="AH107" s="6" t="s">
        <v>213</v>
      </c>
      <c r="AI107" s="4">
        <v>300346</v>
      </c>
      <c r="AJ107" s="3" t="s">
        <v>214</v>
      </c>
      <c r="AK107" s="3" t="s">
        <v>197</v>
      </c>
      <c r="AL107" s="6">
        <v>65</v>
      </c>
      <c r="EK107"/>
      <c r="EL107"/>
      <c r="EM107"/>
      <c r="EN107"/>
      <c r="EO107"/>
      <c r="EP107"/>
      <c r="EQ107"/>
      <c r="EW107" s="6">
        <v>0</v>
      </c>
      <c r="EX107" s="6">
        <v>8.9933333333333305</v>
      </c>
      <c r="EY107" s="65">
        <v>44.773333333333333</v>
      </c>
      <c r="EZ107" s="6">
        <v>43.516666666666673</v>
      </c>
      <c r="FA107" s="6">
        <v>90.413333333333341</v>
      </c>
      <c r="GD107"/>
    </row>
    <row r="108" spans="1:186" s="6" customFormat="1" x14ac:dyDescent="0.2">
      <c r="A108" s="60" t="s">
        <v>1030</v>
      </c>
      <c r="B108" s="6" t="s">
        <v>166</v>
      </c>
      <c r="C108" s="6" t="s">
        <v>101</v>
      </c>
      <c r="D108" s="6" t="s">
        <v>255</v>
      </c>
      <c r="F108" s="6">
        <v>202</v>
      </c>
      <c r="G108" s="6">
        <v>1</v>
      </c>
      <c r="J108" s="6">
        <v>1</v>
      </c>
      <c r="L108" s="6" t="s">
        <v>555</v>
      </c>
      <c r="M108" s="6" t="s">
        <v>1031</v>
      </c>
      <c r="N108" s="6" t="s">
        <v>876</v>
      </c>
      <c r="O108" s="6" t="s">
        <v>1032</v>
      </c>
      <c r="P108" s="6" t="s">
        <v>1033</v>
      </c>
      <c r="Q108" s="6">
        <v>1</v>
      </c>
      <c r="S108" s="6">
        <v>1</v>
      </c>
      <c r="T108">
        <v>53.89671422</v>
      </c>
      <c r="U108">
        <v>6.5521411399999998</v>
      </c>
      <c r="V108">
        <v>78.072847496792363</v>
      </c>
      <c r="W108">
        <v>7.4402792314392272</v>
      </c>
      <c r="X108">
        <v>0.24939761096586754</v>
      </c>
      <c r="Y108">
        <v>0.88084096867539086</v>
      </c>
      <c r="Z108"/>
      <c r="AA108"/>
      <c r="AB108" s="61"/>
      <c r="AC108" s="61"/>
      <c r="AD108" s="62"/>
      <c r="AE108" s="63"/>
      <c r="AF108" s="63"/>
      <c r="AG108" s="6" t="s">
        <v>166</v>
      </c>
      <c r="AH108" s="6" t="s">
        <v>555</v>
      </c>
      <c r="AI108" s="6">
        <v>202</v>
      </c>
      <c r="AJ108" s="6" t="s">
        <v>101</v>
      </c>
      <c r="AK108" s="3" t="s">
        <v>188</v>
      </c>
      <c r="AL108" s="6">
        <v>702</v>
      </c>
      <c r="AM108" s="6" t="s">
        <v>189</v>
      </c>
      <c r="DW108" s="19">
        <v>0</v>
      </c>
      <c r="DX108" s="19">
        <v>0</v>
      </c>
      <c r="DY108" s="19">
        <v>0</v>
      </c>
      <c r="DZ108" s="19">
        <v>0</v>
      </c>
      <c r="EA108" s="19">
        <v>0</v>
      </c>
      <c r="EB108" s="17">
        <v>13.4</v>
      </c>
      <c r="EC108" s="17">
        <v>22.4</v>
      </c>
      <c r="ED108" s="17">
        <v>10</v>
      </c>
      <c r="EE108" s="17">
        <v>5.19</v>
      </c>
      <c r="EF108" s="17"/>
      <c r="EG108" s="17"/>
      <c r="EH108" s="17"/>
      <c r="EI108" s="17"/>
      <c r="EJ108" s="19"/>
      <c r="EK108" s="106">
        <v>0.94</v>
      </c>
      <c r="EL108" s="106">
        <v>0.94</v>
      </c>
      <c r="EM108" s="106">
        <v>0.94</v>
      </c>
      <c r="EN108" s="106">
        <v>0.94</v>
      </c>
      <c r="EO108" s="106">
        <v>0.94</v>
      </c>
      <c r="EP108" s="106"/>
      <c r="EQ108" s="106"/>
      <c r="FB108" s="67"/>
      <c r="GD108"/>
    </row>
    <row r="109" spans="1:186" s="26" customFormat="1" ht="16" x14ac:dyDescent="0.2">
      <c r="A109" s="68" t="s">
        <v>762</v>
      </c>
      <c r="B109" s="26" t="s">
        <v>164</v>
      </c>
      <c r="C109" s="26" t="s">
        <v>154</v>
      </c>
      <c r="D109" s="26" t="s">
        <v>255</v>
      </c>
      <c r="F109" s="26">
        <v>300685</v>
      </c>
      <c r="G109" s="26">
        <v>1</v>
      </c>
      <c r="H109" s="26">
        <v>1</v>
      </c>
      <c r="I109" s="26">
        <v>1</v>
      </c>
      <c r="J109" s="26">
        <v>1</v>
      </c>
      <c r="L109" s="26" t="s">
        <v>260</v>
      </c>
      <c r="M109" s="26" t="s">
        <v>763</v>
      </c>
      <c r="N109" s="26" t="s">
        <v>188</v>
      </c>
      <c r="O109" s="26" t="s">
        <v>671</v>
      </c>
      <c r="P109" s="26" t="s">
        <v>672</v>
      </c>
      <c r="T109" s="39">
        <v>10000</v>
      </c>
      <c r="U109" s="39">
        <v>49.811832337055463</v>
      </c>
      <c r="V109" s="39">
        <v>10000</v>
      </c>
      <c r="W109" s="39">
        <v>54.376073634278221</v>
      </c>
      <c r="X109" s="39">
        <v>3.6458334864320763E-2</v>
      </c>
      <c r="Y109" s="39">
        <v>9.1396212960843978E-2</v>
      </c>
      <c r="Z109" s="39"/>
      <c r="AA109" s="39"/>
      <c r="AB109" s="57">
        <v>9.6000000000000002E-4</v>
      </c>
      <c r="AC109" s="57">
        <v>8.4799999999999997E-3</v>
      </c>
      <c r="AD109" s="58">
        <v>0.17299999999999999</v>
      </c>
      <c r="AE109" s="88">
        <v>2</v>
      </c>
      <c r="AF109" s="58">
        <v>0.46600000000000003</v>
      </c>
      <c r="AG109" s="26" t="s">
        <v>84</v>
      </c>
      <c r="AH109" s="26" t="s">
        <v>260</v>
      </c>
      <c r="AI109" s="27">
        <v>300685</v>
      </c>
      <c r="AJ109" s="40" t="s">
        <v>154</v>
      </c>
      <c r="AK109" s="28" t="s">
        <v>188</v>
      </c>
      <c r="AL109" s="26">
        <v>295</v>
      </c>
      <c r="AM109" s="26" t="s">
        <v>246</v>
      </c>
      <c r="EB109" s="29">
        <v>87.8</v>
      </c>
      <c r="EC109" s="29">
        <v>139</v>
      </c>
      <c r="ED109" s="29">
        <v>99.2</v>
      </c>
      <c r="EE109" s="29">
        <v>120</v>
      </c>
      <c r="EF109" s="29"/>
      <c r="EG109" s="29"/>
      <c r="EH109" s="29"/>
      <c r="EI109" s="29"/>
      <c r="EK109" s="108">
        <v>161</v>
      </c>
      <c r="EL109" s="108">
        <v>20.6</v>
      </c>
      <c r="EM109" s="108">
        <v>69.3</v>
      </c>
      <c r="EN109" s="108">
        <v>80.8</v>
      </c>
      <c r="EO109" s="108">
        <v>88.6</v>
      </c>
      <c r="EP109" s="108"/>
      <c r="EQ109" s="108"/>
      <c r="FB109" s="26">
        <v>0</v>
      </c>
      <c r="FC109" s="26">
        <v>4.4880952380952382E-2</v>
      </c>
      <c r="FD109" s="26">
        <v>0</v>
      </c>
      <c r="FE109" s="26">
        <v>0</v>
      </c>
      <c r="FF109" s="26">
        <v>0</v>
      </c>
      <c r="FG109" s="26">
        <v>3.6746190476190472</v>
      </c>
      <c r="FH109" s="26">
        <v>0</v>
      </c>
      <c r="FI109" s="26">
        <v>0</v>
      </c>
      <c r="FJ109" s="74">
        <v>0</v>
      </c>
      <c r="FK109" s="74">
        <v>0.27396830131646976</v>
      </c>
      <c r="FL109" s="74">
        <v>0</v>
      </c>
      <c r="FM109" s="74">
        <v>0</v>
      </c>
      <c r="FN109" s="74">
        <v>0</v>
      </c>
      <c r="FO109" s="74">
        <v>0.19319444444444445</v>
      </c>
      <c r="FP109" s="26">
        <v>0</v>
      </c>
      <c r="FQ109" s="26">
        <v>0</v>
      </c>
      <c r="FR109" s="74">
        <v>0</v>
      </c>
      <c r="FS109" s="26">
        <v>0.54370370370370358</v>
      </c>
      <c r="FT109" s="26">
        <v>0</v>
      </c>
      <c r="FU109" s="26">
        <v>0</v>
      </c>
      <c r="FV109" s="26">
        <v>0</v>
      </c>
      <c r="FW109" s="26">
        <v>0</v>
      </c>
      <c r="FX109" s="26">
        <v>0</v>
      </c>
      <c r="FY109" s="26">
        <v>0</v>
      </c>
      <c r="FZ109" s="74">
        <v>0</v>
      </c>
      <c r="GA109" s="26">
        <v>0</v>
      </c>
      <c r="GB109" s="26">
        <v>0</v>
      </c>
      <c r="GC109" s="26">
        <v>0</v>
      </c>
      <c r="GD109"/>
    </row>
    <row r="110" spans="1:186" s="6" customFormat="1" x14ac:dyDescent="0.2">
      <c r="A110" s="60" t="s">
        <v>835</v>
      </c>
      <c r="B110" s="6" t="s">
        <v>573</v>
      </c>
      <c r="C110" s="6" t="s">
        <v>305</v>
      </c>
      <c r="D110" s="6" t="s">
        <v>664</v>
      </c>
      <c r="F110" s="6">
        <v>301725</v>
      </c>
      <c r="H110" s="6">
        <v>1</v>
      </c>
      <c r="I110" s="6">
        <v>1</v>
      </c>
      <c r="J110" s="6">
        <v>1</v>
      </c>
      <c r="L110" s="6" t="s">
        <v>304</v>
      </c>
      <c r="M110" s="6" t="s">
        <v>836</v>
      </c>
      <c r="N110" s="6" t="s">
        <v>201</v>
      </c>
      <c r="O110" s="6" t="s">
        <v>671</v>
      </c>
      <c r="P110" s="6" t="s">
        <v>672</v>
      </c>
      <c r="T110">
        <v>31.842172153387327</v>
      </c>
      <c r="U110">
        <v>50.661036345233562</v>
      </c>
      <c r="V110">
        <v>10000</v>
      </c>
      <c r="W110">
        <v>10000</v>
      </c>
      <c r="X110">
        <v>9.0661168299857167E-2</v>
      </c>
      <c r="Y110">
        <v>0.10761478257256708</v>
      </c>
      <c r="Z110" s="64">
        <v>206</v>
      </c>
      <c r="AA110" s="64"/>
      <c r="AB110" s="61"/>
      <c r="AC110" s="61"/>
      <c r="AD110" s="62"/>
      <c r="AE110" s="63"/>
      <c r="AF110" s="63"/>
      <c r="AG110" s="6" t="s">
        <v>303</v>
      </c>
      <c r="AH110" s="6" t="s">
        <v>304</v>
      </c>
      <c r="AI110" s="2"/>
      <c r="AJ110" s="3" t="s">
        <v>305</v>
      </c>
      <c r="AK110" s="3" t="s">
        <v>201</v>
      </c>
      <c r="AL110" s="6">
        <v>419</v>
      </c>
      <c r="AM110" s="6" t="s">
        <v>193</v>
      </c>
      <c r="EK110"/>
      <c r="EL110"/>
      <c r="EM110"/>
      <c r="EN110"/>
      <c r="EO110"/>
      <c r="EP110"/>
      <c r="EQ110"/>
      <c r="ER110" s="75">
        <v>0</v>
      </c>
      <c r="ES110" s="6">
        <v>0</v>
      </c>
      <c r="ET110" s="6">
        <v>1.6533333333333333</v>
      </c>
      <c r="EU110" s="6">
        <v>4.07</v>
      </c>
      <c r="EV110" s="6">
        <v>1.2333333333333334</v>
      </c>
      <c r="FB110" s="6">
        <v>0</v>
      </c>
      <c r="FC110" s="6">
        <v>0</v>
      </c>
      <c r="FD110" s="6">
        <v>0</v>
      </c>
      <c r="FE110" s="6">
        <v>0</v>
      </c>
      <c r="FF110" s="6">
        <v>0</v>
      </c>
      <c r="FG110" s="6">
        <v>0</v>
      </c>
      <c r="FH110" s="6">
        <v>1.3139682539682541E-2</v>
      </c>
      <c r="FI110" s="6">
        <v>7.4746031746031746E-3</v>
      </c>
      <c r="FJ110" s="66">
        <v>0</v>
      </c>
      <c r="FK110" s="66">
        <v>0</v>
      </c>
      <c r="FL110" s="66">
        <v>0</v>
      </c>
      <c r="FM110" s="66">
        <v>0</v>
      </c>
      <c r="FN110" s="66">
        <v>0</v>
      </c>
      <c r="FO110" s="66">
        <v>0</v>
      </c>
      <c r="FP110" s="6">
        <v>0</v>
      </c>
      <c r="FQ110" s="6">
        <v>0</v>
      </c>
      <c r="FR110" s="66">
        <v>0</v>
      </c>
      <c r="FS110" s="6">
        <v>0</v>
      </c>
      <c r="FT110" s="6">
        <v>0</v>
      </c>
      <c r="FU110" s="6">
        <v>0</v>
      </c>
      <c r="FV110" s="6">
        <v>0</v>
      </c>
      <c r="FW110" s="6">
        <v>0</v>
      </c>
      <c r="FX110" s="6">
        <v>0</v>
      </c>
      <c r="FY110" s="6">
        <v>0</v>
      </c>
      <c r="FZ110" s="66">
        <v>0</v>
      </c>
      <c r="GA110" s="6">
        <v>0</v>
      </c>
      <c r="GB110" s="6">
        <v>0</v>
      </c>
      <c r="GC110" s="6">
        <v>0</v>
      </c>
      <c r="GD110"/>
    </row>
    <row r="111" spans="1:186" s="6" customFormat="1" x14ac:dyDescent="0.2">
      <c r="A111" s="60" t="s">
        <v>893</v>
      </c>
      <c r="B111" s="6" t="s">
        <v>261</v>
      </c>
      <c r="C111" s="6" t="s">
        <v>263</v>
      </c>
      <c r="D111" s="6" t="s">
        <v>876</v>
      </c>
      <c r="H111" s="6">
        <v>1</v>
      </c>
      <c r="I111" s="6">
        <v>1</v>
      </c>
      <c r="L111" s="6" t="s">
        <v>262</v>
      </c>
      <c r="M111" s="6" t="s">
        <v>767</v>
      </c>
      <c r="N111" s="6" t="s">
        <v>197</v>
      </c>
      <c r="O111" s="6" t="s">
        <v>671</v>
      </c>
      <c r="P111" s="6" t="s">
        <v>672</v>
      </c>
      <c r="T111">
        <v>52.82584157290551</v>
      </c>
      <c r="U111">
        <v>64.735676552126421</v>
      </c>
      <c r="V111">
        <v>58.185167674739375</v>
      </c>
      <c r="W111">
        <v>141.67959883178068</v>
      </c>
      <c r="X111">
        <v>7.172616215950103E-3</v>
      </c>
      <c r="Y111">
        <v>3.0364324341754262E-2</v>
      </c>
      <c r="Z111" s="64">
        <v>199</v>
      </c>
      <c r="AA111" s="64"/>
      <c r="AB111" s="61"/>
      <c r="AC111" s="61"/>
      <c r="AD111" s="62"/>
      <c r="AE111" s="63"/>
      <c r="AF111" s="63"/>
      <c r="AG111" s="6" t="s">
        <v>261</v>
      </c>
      <c r="AH111" s="6" t="s">
        <v>262</v>
      </c>
      <c r="AI111" s="4">
        <v>300342</v>
      </c>
      <c r="AJ111" s="3" t="s">
        <v>263</v>
      </c>
      <c r="AK111" s="3" t="s">
        <v>197</v>
      </c>
      <c r="AL111" s="6">
        <v>296</v>
      </c>
      <c r="EK111"/>
      <c r="EL111"/>
      <c r="EM111"/>
      <c r="EN111"/>
      <c r="EO111"/>
      <c r="EP111"/>
      <c r="EQ111"/>
      <c r="EW111" s="6">
        <v>0</v>
      </c>
      <c r="EX111" s="6">
        <v>4.833333333333333</v>
      </c>
      <c r="EY111" s="65">
        <v>42.859999999999992</v>
      </c>
      <c r="EZ111" s="6">
        <v>42.036666666666669</v>
      </c>
      <c r="FA111" s="6">
        <v>52.75333333333333</v>
      </c>
      <c r="GD111"/>
    </row>
    <row r="112" spans="1:186" s="6" customFormat="1" x14ac:dyDescent="0.2">
      <c r="A112" s="60" t="s">
        <v>1038</v>
      </c>
      <c r="B112" s="6" t="s">
        <v>163</v>
      </c>
      <c r="C112" s="6" t="s">
        <v>92</v>
      </c>
      <c r="D112" s="6" t="s">
        <v>255</v>
      </c>
      <c r="F112" s="6">
        <v>302101</v>
      </c>
      <c r="G112" s="6">
        <v>1</v>
      </c>
      <c r="J112" s="6">
        <v>1</v>
      </c>
      <c r="L112" s="6" t="s">
        <v>876</v>
      </c>
      <c r="M112" s="6" t="s">
        <v>876</v>
      </c>
      <c r="N112" s="6" t="s">
        <v>876</v>
      </c>
      <c r="O112" s="6" t="s">
        <v>876</v>
      </c>
      <c r="P112" s="6" t="s">
        <v>876</v>
      </c>
      <c r="T112"/>
      <c r="U112"/>
      <c r="V112"/>
      <c r="W112"/>
      <c r="X112"/>
      <c r="Y112"/>
      <c r="Z112"/>
      <c r="AA112"/>
      <c r="AB112" s="61"/>
      <c r="AC112" s="61"/>
      <c r="AD112" s="62"/>
      <c r="AE112" s="63"/>
      <c r="AF112" s="63"/>
      <c r="AG112" s="6" t="s">
        <v>163</v>
      </c>
      <c r="AI112" s="6">
        <v>302101</v>
      </c>
      <c r="AJ112" s="6" t="s">
        <v>92</v>
      </c>
      <c r="AK112" s="3" t="s">
        <v>427</v>
      </c>
      <c r="AL112" s="3"/>
      <c r="AM112" s="6" t="s">
        <v>189</v>
      </c>
      <c r="DW112" s="19">
        <v>9.6</v>
      </c>
      <c r="DX112" s="19">
        <v>16</v>
      </c>
      <c r="DY112" s="19">
        <v>23</v>
      </c>
      <c r="DZ112" s="19">
        <v>18</v>
      </c>
      <c r="EA112" s="19">
        <v>12</v>
      </c>
      <c r="EB112" s="17">
        <v>41.9</v>
      </c>
      <c r="EC112" s="17">
        <v>95.1</v>
      </c>
      <c r="ED112" s="17">
        <v>42.8</v>
      </c>
      <c r="EE112" s="17">
        <v>28.3</v>
      </c>
      <c r="EF112" s="17"/>
      <c r="EG112" s="17"/>
      <c r="EH112" s="17"/>
      <c r="EI112" s="17"/>
      <c r="EJ112" s="19"/>
      <c r="EK112" s="106">
        <v>0.81</v>
      </c>
      <c r="EL112" s="106">
        <v>0.81</v>
      </c>
      <c r="EM112" s="106">
        <v>0.81</v>
      </c>
      <c r="EN112" s="106">
        <v>0.81</v>
      </c>
      <c r="EO112" s="106">
        <v>0.81</v>
      </c>
      <c r="EP112" s="106"/>
      <c r="EQ112" s="106"/>
      <c r="FB112" s="65"/>
      <c r="GD112"/>
    </row>
    <row r="113" spans="1:186" s="6" customFormat="1" x14ac:dyDescent="0.2">
      <c r="A113" s="60" t="s">
        <v>841</v>
      </c>
      <c r="B113" s="6" t="s">
        <v>579</v>
      </c>
      <c r="C113" s="6" t="s">
        <v>420</v>
      </c>
      <c r="D113" s="6" t="s">
        <v>255</v>
      </c>
      <c r="F113" s="6">
        <v>301728</v>
      </c>
      <c r="H113" s="6">
        <v>1</v>
      </c>
      <c r="I113" s="6">
        <v>1</v>
      </c>
      <c r="J113" s="6">
        <v>1</v>
      </c>
      <c r="L113" s="6" t="s">
        <v>415</v>
      </c>
      <c r="M113" s="6" t="s">
        <v>842</v>
      </c>
      <c r="N113" s="6" t="s">
        <v>201</v>
      </c>
      <c r="O113" s="6" t="s">
        <v>671</v>
      </c>
      <c r="P113" s="6" t="s">
        <v>672</v>
      </c>
      <c r="T113">
        <v>10000</v>
      </c>
      <c r="U113">
        <v>10000</v>
      </c>
      <c r="V113">
        <v>10000</v>
      </c>
      <c r="W113">
        <v>10000</v>
      </c>
      <c r="X113">
        <v>5.2083334939432166E-2</v>
      </c>
      <c r="Y113">
        <v>0.13742708745908466</v>
      </c>
      <c r="Z113" s="64">
        <v>21</v>
      </c>
      <c r="AA113" s="64"/>
      <c r="AB113" s="61"/>
      <c r="AC113" s="61"/>
      <c r="AD113" s="62"/>
      <c r="AE113" s="63"/>
      <c r="AF113" s="63"/>
      <c r="AG113" s="6" t="s">
        <v>418</v>
      </c>
      <c r="AH113" s="6" t="s">
        <v>419</v>
      </c>
      <c r="AI113" s="2"/>
      <c r="AJ113" s="3" t="s">
        <v>420</v>
      </c>
      <c r="AK113" s="3" t="s">
        <v>201</v>
      </c>
      <c r="AL113" s="6">
        <v>776</v>
      </c>
      <c r="AM113" s="6" t="s">
        <v>193</v>
      </c>
      <c r="EK113"/>
      <c r="EL113"/>
      <c r="EM113"/>
      <c r="EN113"/>
      <c r="EO113"/>
      <c r="EP113"/>
      <c r="EQ113"/>
      <c r="ER113" s="67">
        <v>29.385964912280702</v>
      </c>
      <c r="ES113" s="6">
        <v>172.44666666666663</v>
      </c>
      <c r="ET113" s="6">
        <v>1168.5133333333333</v>
      </c>
      <c r="EU113" s="6">
        <v>37.476666666666667</v>
      </c>
      <c r="EV113" s="6">
        <v>4.3666666666666671</v>
      </c>
      <c r="FB113" s="6">
        <v>0</v>
      </c>
      <c r="FC113" s="6">
        <v>0</v>
      </c>
      <c r="FD113" s="6">
        <v>0</v>
      </c>
      <c r="FE113" s="6">
        <v>0</v>
      </c>
      <c r="FF113" s="6">
        <v>0</v>
      </c>
      <c r="FG113" s="6">
        <v>0</v>
      </c>
      <c r="FH113" s="6">
        <v>0</v>
      </c>
      <c r="FI113" s="6">
        <v>0</v>
      </c>
      <c r="FJ113" s="66">
        <v>0</v>
      </c>
      <c r="FK113" s="66">
        <v>0</v>
      </c>
      <c r="FL113" s="66">
        <v>0</v>
      </c>
      <c r="FM113" s="66">
        <v>4.7488505747126424E-2</v>
      </c>
      <c r="FN113" s="66">
        <v>0</v>
      </c>
      <c r="FO113" s="66">
        <v>5.0088888888888891E-3</v>
      </c>
      <c r="FP113" s="6">
        <v>0</v>
      </c>
      <c r="FQ113" s="6">
        <v>0</v>
      </c>
      <c r="FR113" s="66">
        <v>0</v>
      </c>
      <c r="FS113" s="6">
        <v>0</v>
      </c>
      <c r="FT113" s="6">
        <v>0</v>
      </c>
      <c r="FU113" s="6">
        <v>3.2577777777777775E-2</v>
      </c>
      <c r="FV113" s="6">
        <v>0</v>
      </c>
      <c r="FW113" s="6">
        <v>0</v>
      </c>
      <c r="FX113" s="6">
        <v>0</v>
      </c>
      <c r="FY113" s="6">
        <v>0</v>
      </c>
      <c r="FZ113" s="66">
        <v>0</v>
      </c>
      <c r="GA113" s="6">
        <v>0</v>
      </c>
      <c r="GB113" s="6">
        <v>0</v>
      </c>
      <c r="GC113" s="6">
        <v>0</v>
      </c>
      <c r="GD113"/>
    </row>
    <row r="114" spans="1:186" s="6" customFormat="1" x14ac:dyDescent="0.2">
      <c r="A114" s="60" t="s">
        <v>784</v>
      </c>
      <c r="B114" s="6" t="s">
        <v>370</v>
      </c>
      <c r="C114" s="6" t="s">
        <v>369</v>
      </c>
      <c r="D114" s="6" t="s">
        <v>255</v>
      </c>
      <c r="F114" s="6">
        <v>200</v>
      </c>
      <c r="H114" s="6">
        <v>1</v>
      </c>
      <c r="I114" s="6">
        <v>1</v>
      </c>
      <c r="J114" s="6">
        <v>1</v>
      </c>
      <c r="L114" s="6" t="s">
        <v>365</v>
      </c>
      <c r="M114" s="6" t="s">
        <v>785</v>
      </c>
      <c r="N114" s="6" t="s">
        <v>201</v>
      </c>
      <c r="O114" s="6" t="s">
        <v>671</v>
      </c>
      <c r="P114" s="6" t="s">
        <v>672</v>
      </c>
      <c r="S114" s="6">
        <v>1</v>
      </c>
      <c r="T114">
        <v>12.975538274004627</v>
      </c>
      <c r="U114">
        <v>9.315869531131419</v>
      </c>
      <c r="V114">
        <v>38.842797580864953</v>
      </c>
      <c r="W114">
        <v>15.193013820262371</v>
      </c>
      <c r="X114">
        <v>0.30315767761046686</v>
      </c>
      <c r="Y114">
        <v>0.70748073811508105</v>
      </c>
      <c r="Z114"/>
      <c r="AA114"/>
      <c r="AB114" s="61"/>
      <c r="AC114" s="61"/>
      <c r="AD114" s="62"/>
      <c r="AE114" s="63"/>
      <c r="AF114" s="63"/>
      <c r="AG114" s="6" t="s">
        <v>367</v>
      </c>
      <c r="AH114" s="6" t="s">
        <v>368</v>
      </c>
      <c r="AI114" s="2"/>
      <c r="AJ114" s="3" t="s">
        <v>369</v>
      </c>
      <c r="AK114" s="3" t="s">
        <v>201</v>
      </c>
      <c r="AL114" s="6">
        <v>667</v>
      </c>
      <c r="AM114" s="6" t="s">
        <v>193</v>
      </c>
      <c r="AN114" s="6" t="s">
        <v>370</v>
      </c>
      <c r="EK114"/>
      <c r="EL114"/>
      <c r="EM114"/>
      <c r="EN114"/>
      <c r="EO114"/>
      <c r="EP114"/>
      <c r="EQ114"/>
      <c r="ER114" s="67">
        <v>1733.8833333333332</v>
      </c>
      <c r="ES114" s="6">
        <v>0</v>
      </c>
      <c r="ET114" s="6">
        <v>0.52666666666666673</v>
      </c>
      <c r="EU114" s="6">
        <v>1.9533333333333334</v>
      </c>
      <c r="EV114" s="6">
        <v>0.82666666666666666</v>
      </c>
      <c r="FB114" s="6">
        <v>0</v>
      </c>
      <c r="FC114" s="6">
        <v>0</v>
      </c>
      <c r="FD114" s="6">
        <v>0</v>
      </c>
      <c r="FE114" s="6">
        <v>0</v>
      </c>
      <c r="FF114" s="6">
        <v>0</v>
      </c>
      <c r="FG114" s="6">
        <v>0</v>
      </c>
      <c r="FH114" s="6">
        <v>0</v>
      </c>
      <c r="FI114" s="6">
        <v>0</v>
      </c>
      <c r="FJ114" s="66">
        <v>0</v>
      </c>
      <c r="FK114" s="66">
        <v>0</v>
      </c>
      <c r="FL114" s="66">
        <v>0</v>
      </c>
      <c r="FM114" s="66">
        <v>0</v>
      </c>
      <c r="FN114" s="66">
        <v>0</v>
      </c>
      <c r="FO114" s="66">
        <v>0</v>
      </c>
      <c r="FP114" s="6">
        <v>0</v>
      </c>
      <c r="FQ114" s="6">
        <v>0</v>
      </c>
      <c r="FR114" s="66">
        <v>0</v>
      </c>
      <c r="FS114" s="6">
        <v>0</v>
      </c>
      <c r="FT114" s="6">
        <v>0</v>
      </c>
      <c r="FU114" s="6">
        <v>0</v>
      </c>
      <c r="FV114" s="6">
        <v>0</v>
      </c>
      <c r="FW114" s="6">
        <v>0</v>
      </c>
      <c r="FX114" s="6">
        <v>0</v>
      </c>
      <c r="FY114" s="6">
        <v>0</v>
      </c>
      <c r="FZ114" s="66">
        <v>0</v>
      </c>
      <c r="GA114" s="6">
        <v>0</v>
      </c>
      <c r="GB114" s="6">
        <v>0</v>
      </c>
      <c r="GC114" s="6">
        <v>0</v>
      </c>
      <c r="GD114"/>
    </row>
    <row r="115" spans="1:186" s="6" customFormat="1" x14ac:dyDescent="0.2">
      <c r="A115" s="60" t="s">
        <v>917</v>
      </c>
      <c r="B115" s="6" t="s">
        <v>324</v>
      </c>
      <c r="C115" s="6" t="s">
        <v>326</v>
      </c>
      <c r="D115" s="6" t="s">
        <v>876</v>
      </c>
      <c r="H115" s="6">
        <v>1</v>
      </c>
      <c r="I115" s="6">
        <v>1</v>
      </c>
      <c r="L115" s="6" t="s">
        <v>322</v>
      </c>
      <c r="M115" s="6" t="s">
        <v>918</v>
      </c>
      <c r="N115" s="6" t="s">
        <v>197</v>
      </c>
      <c r="O115" s="6" t="s">
        <v>671</v>
      </c>
      <c r="P115" s="6" t="s">
        <v>672</v>
      </c>
      <c r="T115">
        <v>1.1293382294253269</v>
      </c>
      <c r="U115">
        <v>0.46475375540472413</v>
      </c>
      <c r="V115">
        <v>4.0999124022714284</v>
      </c>
      <c r="W115">
        <v>2.6362871696010561</v>
      </c>
      <c r="X115">
        <v>0.92312139443151064</v>
      </c>
      <c r="Y115">
        <v>0.93935706853538592</v>
      </c>
      <c r="Z115" s="64">
        <v>25</v>
      </c>
      <c r="AA115" s="64"/>
      <c r="AB115" s="61"/>
      <c r="AC115" s="61"/>
      <c r="AD115" s="62"/>
      <c r="AE115" s="63"/>
      <c r="AF115" s="63"/>
      <c r="AG115" s="6" t="s">
        <v>324</v>
      </c>
      <c r="AH115" s="6" t="s">
        <v>325</v>
      </c>
      <c r="AI115" s="2"/>
      <c r="AJ115" s="3" t="s">
        <v>326</v>
      </c>
      <c r="AK115" s="3" t="s">
        <v>197</v>
      </c>
      <c r="AL115" s="6">
        <v>504</v>
      </c>
      <c r="EK115"/>
      <c r="EL115"/>
      <c r="EM115"/>
      <c r="EN115"/>
      <c r="EO115"/>
      <c r="EP115"/>
      <c r="EQ115"/>
      <c r="EW115" s="6">
        <v>1275.2333333333333</v>
      </c>
      <c r="EX115" s="6">
        <v>1128.5466666666669</v>
      </c>
      <c r="EY115" s="65">
        <v>736.44333333333327</v>
      </c>
      <c r="EZ115" s="6">
        <v>891.1586666666667</v>
      </c>
      <c r="FA115" s="6">
        <v>2683.75</v>
      </c>
      <c r="GD115"/>
    </row>
    <row r="116" spans="1:186" s="6" customFormat="1" x14ac:dyDescent="0.2">
      <c r="A116" s="60" t="s">
        <v>839</v>
      </c>
      <c r="B116" s="6" t="s">
        <v>578</v>
      </c>
      <c r="C116" s="6" t="s">
        <v>302</v>
      </c>
      <c r="D116" s="6" t="s">
        <v>664</v>
      </c>
      <c r="F116" s="6">
        <v>301727</v>
      </c>
      <c r="H116" s="6">
        <v>1</v>
      </c>
      <c r="I116" s="6">
        <v>1</v>
      </c>
      <c r="J116" s="6">
        <v>1</v>
      </c>
      <c r="L116" s="6" t="s">
        <v>301</v>
      </c>
      <c r="M116" s="6" t="s">
        <v>840</v>
      </c>
      <c r="N116" s="6" t="s">
        <v>201</v>
      </c>
      <c r="O116" s="6" t="s">
        <v>671</v>
      </c>
      <c r="P116" s="6" t="s">
        <v>672</v>
      </c>
      <c r="Q116" s="6">
        <v>1</v>
      </c>
      <c r="S116" s="6">
        <v>1</v>
      </c>
      <c r="T116">
        <v>14.235693344604158</v>
      </c>
      <c r="U116">
        <v>4.1992795768317484</v>
      </c>
      <c r="V116">
        <v>290.35019201052035</v>
      </c>
      <c r="W116">
        <v>49.234563624129912</v>
      </c>
      <c r="X116">
        <v>4.9381457410469447E-2</v>
      </c>
      <c r="Y116">
        <v>9.3843079413048924E-2</v>
      </c>
      <c r="Z116" s="64">
        <v>160</v>
      </c>
      <c r="AA116" s="64"/>
      <c r="AB116" s="61"/>
      <c r="AC116" s="61"/>
      <c r="AD116" s="62"/>
      <c r="AE116" s="63"/>
      <c r="AF116" s="63"/>
      <c r="AG116" s="6" t="s">
        <v>300</v>
      </c>
      <c r="AH116" s="6" t="s">
        <v>301</v>
      </c>
      <c r="AI116" s="2"/>
      <c r="AJ116" s="3" t="s">
        <v>302</v>
      </c>
      <c r="AK116" s="3" t="s">
        <v>201</v>
      </c>
      <c r="AL116" s="6">
        <v>418</v>
      </c>
      <c r="AM116" s="6" t="s">
        <v>193</v>
      </c>
      <c r="EK116"/>
      <c r="EL116"/>
      <c r="EM116"/>
      <c r="EN116"/>
      <c r="EO116"/>
      <c r="EP116"/>
      <c r="EQ116"/>
      <c r="ER116" s="75">
        <v>0</v>
      </c>
      <c r="ES116" s="6">
        <v>0</v>
      </c>
      <c r="ET116" s="6">
        <v>10.853333333333332</v>
      </c>
      <c r="EU116" s="6">
        <v>1.4733333333333329</v>
      </c>
      <c r="EV116" s="6">
        <v>1.8766666666666667</v>
      </c>
      <c r="FB116" s="6">
        <v>0</v>
      </c>
      <c r="FC116" s="6">
        <v>0</v>
      </c>
      <c r="FD116" s="6">
        <v>0</v>
      </c>
      <c r="FE116" s="6">
        <v>0</v>
      </c>
      <c r="FF116" s="6">
        <v>0</v>
      </c>
      <c r="FG116" s="6">
        <v>0</v>
      </c>
      <c r="FH116" s="6">
        <v>0</v>
      </c>
      <c r="FI116" s="6">
        <v>0</v>
      </c>
      <c r="FJ116" s="66">
        <v>0</v>
      </c>
      <c r="FK116" s="66">
        <v>0</v>
      </c>
      <c r="FL116" s="66">
        <v>0</v>
      </c>
      <c r="FM116" s="66">
        <v>0</v>
      </c>
      <c r="FN116" s="66">
        <v>0</v>
      </c>
      <c r="FO116" s="66">
        <v>0</v>
      </c>
      <c r="FP116" s="6">
        <v>0</v>
      </c>
      <c r="FQ116" s="6">
        <v>0</v>
      </c>
      <c r="FR116" s="66">
        <v>0</v>
      </c>
      <c r="FS116" s="6">
        <v>0</v>
      </c>
      <c r="FT116" s="6">
        <v>0</v>
      </c>
      <c r="FU116" s="6">
        <v>0</v>
      </c>
      <c r="FV116" s="6">
        <v>0</v>
      </c>
      <c r="FW116" s="6">
        <v>0</v>
      </c>
      <c r="FX116" s="6">
        <v>0</v>
      </c>
      <c r="FY116" s="6">
        <v>0</v>
      </c>
      <c r="FZ116" s="66">
        <v>0</v>
      </c>
      <c r="GA116" s="6">
        <v>0</v>
      </c>
      <c r="GB116" s="6">
        <v>0</v>
      </c>
      <c r="GC116" s="6">
        <v>0</v>
      </c>
      <c r="GD116"/>
    </row>
    <row r="117" spans="1:186" s="6" customFormat="1" x14ac:dyDescent="0.2">
      <c r="A117" s="60" t="s">
        <v>927</v>
      </c>
      <c r="B117" s="6" t="s">
        <v>395</v>
      </c>
      <c r="C117" s="6" t="s">
        <v>397</v>
      </c>
      <c r="D117" s="6" t="s">
        <v>876</v>
      </c>
      <c r="H117" s="6">
        <v>1</v>
      </c>
      <c r="I117" s="6">
        <v>1</v>
      </c>
      <c r="L117" s="6" t="s">
        <v>391</v>
      </c>
      <c r="M117" s="6" t="s">
        <v>928</v>
      </c>
      <c r="N117" s="6" t="s">
        <v>270</v>
      </c>
      <c r="O117" s="6" t="s">
        <v>671</v>
      </c>
      <c r="P117" s="6" t="s">
        <v>672</v>
      </c>
      <c r="T117">
        <v>23.456237551415278</v>
      </c>
      <c r="U117">
        <v>34.190182433221807</v>
      </c>
      <c r="V117">
        <v>10000</v>
      </c>
      <c r="W117">
        <v>78.506071987495005</v>
      </c>
      <c r="X117">
        <v>0.15695093898637599</v>
      </c>
      <c r="Y117">
        <v>0.16136912271000031</v>
      </c>
      <c r="Z117" s="84">
        <v>26</v>
      </c>
      <c r="AA117" s="84"/>
      <c r="AB117" s="61"/>
      <c r="AC117" s="61"/>
      <c r="AD117" s="62"/>
      <c r="AE117" s="63"/>
      <c r="AF117" s="63"/>
      <c r="AG117" s="6" t="s">
        <v>395</v>
      </c>
      <c r="AH117" s="6" t="s">
        <v>396</v>
      </c>
      <c r="AI117" s="2"/>
      <c r="AJ117" s="3" t="s">
        <v>397</v>
      </c>
      <c r="AK117" s="3" t="s">
        <v>270</v>
      </c>
      <c r="AL117" s="6">
        <v>741</v>
      </c>
      <c r="AM117" s="6" t="s">
        <v>193</v>
      </c>
      <c r="EK117"/>
      <c r="EL117"/>
      <c r="EM117"/>
      <c r="EN117"/>
      <c r="EO117"/>
      <c r="EP117"/>
      <c r="EQ117"/>
      <c r="FB117" s="6">
        <v>0</v>
      </c>
      <c r="FC117" s="6">
        <v>0</v>
      </c>
      <c r="FD117" s="6">
        <v>0</v>
      </c>
      <c r="FE117" s="6">
        <v>0</v>
      </c>
      <c r="FF117" s="6">
        <v>0</v>
      </c>
      <c r="FG117" s="6">
        <v>0</v>
      </c>
      <c r="FH117" s="6">
        <v>0</v>
      </c>
      <c r="FI117" s="6">
        <v>0</v>
      </c>
      <c r="FJ117" s="66">
        <v>0</v>
      </c>
      <c r="FK117" s="66">
        <v>0</v>
      </c>
      <c r="FL117" s="66">
        <v>0</v>
      </c>
      <c r="FM117" s="66">
        <v>0</v>
      </c>
      <c r="FN117" s="66">
        <v>0</v>
      </c>
      <c r="FO117" s="66">
        <v>0</v>
      </c>
      <c r="FP117" s="6">
        <v>0</v>
      </c>
      <c r="FQ117" s="6">
        <v>0</v>
      </c>
      <c r="FR117" s="66">
        <v>0</v>
      </c>
      <c r="FS117" s="6">
        <v>0</v>
      </c>
      <c r="FT117" s="6">
        <v>0</v>
      </c>
      <c r="FU117" s="6">
        <v>0</v>
      </c>
      <c r="FV117" s="6">
        <v>0</v>
      </c>
      <c r="FW117" s="6">
        <v>0</v>
      </c>
      <c r="FX117" s="6">
        <v>0</v>
      </c>
      <c r="FY117" s="6">
        <v>0</v>
      </c>
      <c r="FZ117" s="66">
        <v>0</v>
      </c>
      <c r="GA117" s="6">
        <v>0</v>
      </c>
      <c r="GB117" s="6">
        <v>0</v>
      </c>
      <c r="GC117" s="6">
        <v>0</v>
      </c>
      <c r="GD117"/>
    </row>
    <row r="118" spans="1:186" s="6" customFormat="1" x14ac:dyDescent="0.2">
      <c r="A118" s="60" t="s">
        <v>767</v>
      </c>
      <c r="B118" s="6" t="s">
        <v>162</v>
      </c>
      <c r="C118" s="6" t="s">
        <v>4</v>
      </c>
      <c r="D118" s="6" t="s">
        <v>255</v>
      </c>
      <c r="F118" s="6">
        <v>300315</v>
      </c>
      <c r="G118" s="6">
        <v>1</v>
      </c>
      <c r="I118" s="6">
        <v>1</v>
      </c>
      <c r="J118" s="6">
        <v>1</v>
      </c>
      <c r="L118" s="6" t="s">
        <v>259</v>
      </c>
      <c r="M118" s="6" t="s">
        <v>768</v>
      </c>
      <c r="N118" s="6" t="s">
        <v>188</v>
      </c>
      <c r="O118" s="6" t="s">
        <v>671</v>
      </c>
      <c r="P118" s="6" t="s">
        <v>672</v>
      </c>
      <c r="T118">
        <v>10000</v>
      </c>
      <c r="U118">
        <v>53.168184641792024</v>
      </c>
      <c r="V118">
        <v>10000</v>
      </c>
      <c r="W118">
        <v>58.371114774369353</v>
      </c>
      <c r="X118">
        <v>4.3677085781975045E-2</v>
      </c>
      <c r="Y118">
        <v>4.4413195264285735E-2</v>
      </c>
      <c r="Z118"/>
      <c r="AA118"/>
      <c r="AB118" s="61"/>
      <c r="AC118" s="61"/>
      <c r="AD118" s="62"/>
      <c r="AE118" s="63"/>
      <c r="AF118" s="63"/>
      <c r="AG118" s="6" t="s">
        <v>3</v>
      </c>
      <c r="AH118" s="6" t="s">
        <v>259</v>
      </c>
      <c r="AI118" s="2">
        <v>300315</v>
      </c>
      <c r="AJ118" s="3" t="s">
        <v>4</v>
      </c>
      <c r="AK118" s="3" t="s">
        <v>188</v>
      </c>
      <c r="AL118" s="6">
        <v>286</v>
      </c>
      <c r="AM118" s="6" t="s">
        <v>189</v>
      </c>
      <c r="AO118" s="9">
        <v>0</v>
      </c>
      <c r="AP118" s="9">
        <v>0</v>
      </c>
      <c r="AQ118" s="9">
        <v>0</v>
      </c>
      <c r="AR118" s="9">
        <v>0</v>
      </c>
      <c r="AS118" s="9">
        <v>0</v>
      </c>
      <c r="AT118" s="9">
        <v>0</v>
      </c>
      <c r="AU118" s="9">
        <v>0</v>
      </c>
      <c r="AV118" s="9">
        <v>0</v>
      </c>
      <c r="AW118" s="9">
        <v>0</v>
      </c>
      <c r="AX118" s="9">
        <v>0</v>
      </c>
      <c r="AY118" s="9">
        <v>0</v>
      </c>
      <c r="AZ118" s="9">
        <v>0</v>
      </c>
      <c r="BA118" s="10">
        <v>0</v>
      </c>
      <c r="BB118" s="10">
        <v>0</v>
      </c>
      <c r="BC118" s="10">
        <v>0</v>
      </c>
      <c r="BD118" s="10">
        <v>0</v>
      </c>
      <c r="BE118" s="10">
        <v>0</v>
      </c>
      <c r="BF118" s="10">
        <v>0</v>
      </c>
      <c r="BG118" s="10">
        <v>0</v>
      </c>
      <c r="BH118" s="10">
        <v>0</v>
      </c>
      <c r="BI118" s="10">
        <v>0</v>
      </c>
      <c r="BJ118" s="10">
        <v>0</v>
      </c>
      <c r="BK118" s="10">
        <v>0</v>
      </c>
      <c r="BL118" s="10">
        <v>0</v>
      </c>
      <c r="BM118" s="10">
        <v>0</v>
      </c>
      <c r="BN118" s="11">
        <v>0</v>
      </c>
      <c r="BO118" s="11">
        <v>0</v>
      </c>
      <c r="BP118" s="11">
        <v>0</v>
      </c>
      <c r="BQ118" s="11">
        <v>0</v>
      </c>
      <c r="BR118" s="11">
        <v>0</v>
      </c>
      <c r="BS118" s="11">
        <v>0</v>
      </c>
      <c r="BT118" s="11">
        <v>0</v>
      </c>
      <c r="BU118" s="11">
        <v>0</v>
      </c>
      <c r="BV118" s="11">
        <v>0</v>
      </c>
      <c r="BW118" s="11">
        <v>0</v>
      </c>
      <c r="BX118" s="11">
        <v>0</v>
      </c>
      <c r="BY118" s="11">
        <v>0</v>
      </c>
      <c r="BZ118" s="11">
        <v>0</v>
      </c>
      <c r="CA118" s="11">
        <v>0</v>
      </c>
      <c r="CB118" s="11">
        <v>0</v>
      </c>
      <c r="CC118" s="11">
        <v>0</v>
      </c>
      <c r="CD118" s="11">
        <v>0</v>
      </c>
      <c r="CE118" s="11">
        <v>0</v>
      </c>
      <c r="CF118" s="11">
        <v>0</v>
      </c>
      <c r="CG118" s="11">
        <v>0</v>
      </c>
      <c r="CH118" s="11">
        <v>0</v>
      </c>
      <c r="CI118" s="11">
        <v>0</v>
      </c>
      <c r="CJ118" s="11">
        <v>0</v>
      </c>
      <c r="CK118" s="11">
        <v>0</v>
      </c>
      <c r="CL118" s="11">
        <v>0</v>
      </c>
      <c r="CM118" s="11">
        <v>0</v>
      </c>
      <c r="CN118" s="11">
        <v>0</v>
      </c>
      <c r="CO118" s="11">
        <v>0</v>
      </c>
      <c r="CP118" s="11">
        <v>0</v>
      </c>
      <c r="CQ118" s="11">
        <v>0</v>
      </c>
      <c r="CR118" s="11">
        <v>0</v>
      </c>
      <c r="CS118" s="11">
        <v>0</v>
      </c>
      <c r="CT118" s="18">
        <v>0</v>
      </c>
      <c r="CU118" s="18">
        <v>0</v>
      </c>
      <c r="CV118" s="18">
        <v>10.7591868</v>
      </c>
      <c r="CW118" s="18">
        <v>0</v>
      </c>
      <c r="CX118" s="18">
        <v>0</v>
      </c>
      <c r="CY118" s="18">
        <v>0</v>
      </c>
      <c r="CZ118" s="18">
        <v>0</v>
      </c>
      <c r="DA118" s="18">
        <v>3014.1338499999997</v>
      </c>
      <c r="DB118" s="18">
        <v>0</v>
      </c>
      <c r="DC118" s="18">
        <v>0</v>
      </c>
      <c r="DD118" s="18">
        <v>0</v>
      </c>
      <c r="DE118" s="18">
        <v>7972.8131700000004</v>
      </c>
      <c r="DF118" s="18">
        <v>0</v>
      </c>
      <c r="DG118" s="18">
        <v>0</v>
      </c>
      <c r="DH118" s="18">
        <v>0</v>
      </c>
      <c r="DI118" s="18">
        <v>0</v>
      </c>
      <c r="DJ118" s="18">
        <v>0</v>
      </c>
      <c r="DK118" s="18">
        <v>1326.875364</v>
      </c>
      <c r="DL118" s="18">
        <v>0</v>
      </c>
      <c r="DM118" s="18">
        <v>582.65410699999995</v>
      </c>
      <c r="DN118" s="18">
        <v>0</v>
      </c>
      <c r="DO118" s="18">
        <v>0</v>
      </c>
      <c r="DP118" s="18">
        <v>0</v>
      </c>
      <c r="DQ118" s="18">
        <v>0</v>
      </c>
      <c r="DR118" s="18">
        <v>0</v>
      </c>
      <c r="DS118" s="18">
        <v>0</v>
      </c>
      <c r="DT118" s="18">
        <v>0</v>
      </c>
      <c r="DU118" s="18">
        <v>0</v>
      </c>
      <c r="DV118" s="18">
        <v>0</v>
      </c>
      <c r="DW118" s="19">
        <v>0</v>
      </c>
      <c r="DX118" s="19">
        <v>0</v>
      </c>
      <c r="DY118" s="19">
        <v>0</v>
      </c>
      <c r="DZ118" s="19">
        <v>0</v>
      </c>
      <c r="EA118" s="19">
        <v>0</v>
      </c>
      <c r="EB118" s="17">
        <v>0</v>
      </c>
      <c r="EC118" s="17">
        <v>0</v>
      </c>
      <c r="ED118" s="17">
        <v>0</v>
      </c>
      <c r="EE118" s="17">
        <v>0</v>
      </c>
      <c r="EF118" s="17"/>
      <c r="EG118" s="17"/>
      <c r="EH118" s="17"/>
      <c r="EI118" s="17"/>
      <c r="EJ118" s="19"/>
      <c r="EK118" s="106">
        <v>46.4</v>
      </c>
      <c r="EL118" s="106">
        <v>0.34</v>
      </c>
      <c r="EM118" s="106">
        <v>0.34</v>
      </c>
      <c r="EN118" s="106">
        <v>0.34</v>
      </c>
      <c r="EO118" s="106">
        <v>0.34</v>
      </c>
      <c r="EP118" s="114">
        <v>360000</v>
      </c>
      <c r="EQ118" s="106"/>
      <c r="FB118" s="78"/>
      <c r="GD118"/>
    </row>
    <row r="119" spans="1:186" s="26" customFormat="1" x14ac:dyDescent="0.2">
      <c r="A119" s="68" t="s">
        <v>752</v>
      </c>
      <c r="B119" s="26" t="s">
        <v>5</v>
      </c>
      <c r="C119" s="26" t="s">
        <v>6</v>
      </c>
      <c r="D119" s="26" t="s">
        <v>255</v>
      </c>
      <c r="F119" s="26">
        <v>300390</v>
      </c>
      <c r="G119" s="26">
        <v>1</v>
      </c>
      <c r="H119" s="26">
        <v>1</v>
      </c>
      <c r="I119" s="26">
        <v>1</v>
      </c>
      <c r="J119" s="26">
        <v>1</v>
      </c>
      <c r="L119" s="26" t="s">
        <v>283</v>
      </c>
      <c r="M119" s="26" t="s">
        <v>753</v>
      </c>
      <c r="N119" s="26" t="s">
        <v>188</v>
      </c>
      <c r="O119" s="26" t="s">
        <v>671</v>
      </c>
      <c r="P119" s="26" t="s">
        <v>672</v>
      </c>
      <c r="T119" s="39">
        <v>10000</v>
      </c>
      <c r="U119" s="39">
        <v>51.499138699189629</v>
      </c>
      <c r="V119" s="39">
        <v>10000</v>
      </c>
      <c r="W119" s="39">
        <v>56.465578122403336</v>
      </c>
      <c r="X119" s="39">
        <v>7.9587157819795765E-2</v>
      </c>
      <c r="Y119" s="39">
        <v>8.2879075480702544E-2</v>
      </c>
      <c r="Z119" s="39"/>
      <c r="AA119" s="39"/>
      <c r="AB119" s="56">
        <v>6.5599999999999995E-5</v>
      </c>
      <c r="AC119" s="57">
        <v>4.4900000000000001E-3</v>
      </c>
      <c r="AD119" s="58">
        <v>0.56100000000000005</v>
      </c>
      <c r="AE119" s="58">
        <v>11.5</v>
      </c>
      <c r="AF119" s="58">
        <v>1.99</v>
      </c>
      <c r="AG119" s="26" t="s">
        <v>93</v>
      </c>
      <c r="AH119" s="26" t="s">
        <v>283</v>
      </c>
      <c r="AI119" s="27">
        <v>300390</v>
      </c>
      <c r="AJ119" s="28" t="s">
        <v>6</v>
      </c>
      <c r="AK119" s="28" t="s">
        <v>188</v>
      </c>
      <c r="AL119" s="26">
        <v>404</v>
      </c>
      <c r="AM119" s="26" t="s">
        <v>246</v>
      </c>
      <c r="AO119" s="32">
        <v>44.42</v>
      </c>
      <c r="AP119" s="32">
        <v>23.79</v>
      </c>
      <c r="AQ119" s="32">
        <v>221.79</v>
      </c>
      <c r="AR119" s="32">
        <v>272.5</v>
      </c>
      <c r="AS119" s="32">
        <v>625.70000000000005</v>
      </c>
      <c r="AT119" s="32">
        <v>146.65</v>
      </c>
      <c r="AU119" s="32">
        <v>44.29</v>
      </c>
      <c r="AV119" s="32">
        <v>399.69</v>
      </c>
      <c r="AW119" s="32">
        <v>293.45999999999998</v>
      </c>
      <c r="AX119" s="32">
        <v>363.49</v>
      </c>
      <c r="AY119" s="32">
        <v>363.49</v>
      </c>
      <c r="AZ119" s="32">
        <v>36</v>
      </c>
      <c r="BA119" s="33">
        <v>39.372824799999997</v>
      </c>
      <c r="BB119" s="33">
        <v>0</v>
      </c>
      <c r="BC119" s="33">
        <v>105.4836528</v>
      </c>
      <c r="BD119" s="33">
        <v>141.71847599999998</v>
      </c>
      <c r="BE119" s="33">
        <v>220.27134359999997</v>
      </c>
      <c r="BF119" s="33">
        <v>48.116283599999996</v>
      </c>
      <c r="BG119" s="33">
        <v>26.773573999999996</v>
      </c>
      <c r="BH119" s="33">
        <v>143.27146439999999</v>
      </c>
      <c r="BI119" s="33">
        <v>130.3578996</v>
      </c>
      <c r="BJ119" s="33">
        <v>149.25768120000001</v>
      </c>
      <c r="BK119" s="33">
        <v>148.09351999999998</v>
      </c>
      <c r="BL119" s="33">
        <v>132.52237200000002</v>
      </c>
      <c r="BM119" s="33">
        <v>0</v>
      </c>
      <c r="BN119" s="34">
        <v>19.8005852</v>
      </c>
      <c r="BO119" s="34">
        <v>15.777869999999998</v>
      </c>
      <c r="BP119" s="34">
        <v>87.503894999999986</v>
      </c>
      <c r="BQ119" s="34">
        <v>115.6294544</v>
      </c>
      <c r="BR119" s="34">
        <v>309.57352079999998</v>
      </c>
      <c r="BS119" s="34">
        <v>63.213798600000011</v>
      </c>
      <c r="BT119" s="34">
        <v>144.91008959999996</v>
      </c>
      <c r="BU119" s="34">
        <v>95.304350599999992</v>
      </c>
      <c r="BV119" s="34">
        <v>59.096144199999998</v>
      </c>
      <c r="BW119" s="34">
        <v>26.697469599999998</v>
      </c>
      <c r="BX119" s="34">
        <v>27.721881599999996</v>
      </c>
      <c r="BY119" s="34">
        <v>144.26599459999997</v>
      </c>
      <c r="BZ119" s="34">
        <v>227.09927219999997</v>
      </c>
      <c r="CA119" s="34">
        <v>63.254887999999987</v>
      </c>
      <c r="CB119" s="34">
        <v>198.34454879999998</v>
      </c>
      <c r="CC119" s="34">
        <v>145.67084160000002</v>
      </c>
      <c r="CD119" s="34">
        <v>62.862505400000003</v>
      </c>
      <c r="CE119" s="34">
        <v>54.469436199999997</v>
      </c>
      <c r="CF119" s="34">
        <v>19.418515200000002</v>
      </c>
      <c r="CG119" s="34">
        <v>178.14641040000001</v>
      </c>
      <c r="CH119" s="34">
        <v>205.70275200000003</v>
      </c>
      <c r="CI119" s="34">
        <v>825.17379000000005</v>
      </c>
      <c r="CJ119" s="34">
        <v>56.827419200000001</v>
      </c>
      <c r="CK119" s="34">
        <v>146.32319519999999</v>
      </c>
      <c r="CL119" s="34">
        <v>16.397356600000002</v>
      </c>
      <c r="CM119" s="34">
        <v>9.0112176000000002</v>
      </c>
      <c r="CN119" s="34">
        <v>47.435392</v>
      </c>
      <c r="CO119" s="34">
        <v>53.796432800000005</v>
      </c>
      <c r="CP119" s="34">
        <v>13.662096</v>
      </c>
      <c r="CQ119" s="34">
        <v>92.964249000000009</v>
      </c>
      <c r="CR119" s="34">
        <v>0</v>
      </c>
      <c r="CS119" s="34">
        <v>16.898385000000001</v>
      </c>
      <c r="CT119" s="35">
        <v>0</v>
      </c>
      <c r="CU119" s="35">
        <v>0</v>
      </c>
      <c r="CV119" s="35">
        <v>35.563724999999998</v>
      </c>
      <c r="CW119" s="35">
        <v>0</v>
      </c>
      <c r="CX119" s="35">
        <v>324.23629440000002</v>
      </c>
      <c r="CY119" s="35">
        <v>0</v>
      </c>
      <c r="CZ119" s="35">
        <v>560.96618519999993</v>
      </c>
      <c r="DA119" s="35">
        <v>20484.709814000002</v>
      </c>
      <c r="DB119" s="35">
        <v>398.81388979999997</v>
      </c>
      <c r="DC119" s="35">
        <v>0</v>
      </c>
      <c r="DD119" s="35">
        <v>0</v>
      </c>
      <c r="DE119" s="35">
        <v>12635.567077799999</v>
      </c>
      <c r="DF119" s="35">
        <v>0</v>
      </c>
      <c r="DG119" s="35">
        <v>0</v>
      </c>
      <c r="DH119" s="35">
        <v>31.797290400000005</v>
      </c>
      <c r="DI119" s="35">
        <v>50.899616000000002</v>
      </c>
      <c r="DJ119" s="35">
        <v>25.542980599999996</v>
      </c>
      <c r="DK119" s="35">
        <v>0</v>
      </c>
      <c r="DL119" s="35">
        <v>44.011220399999999</v>
      </c>
      <c r="DM119" s="35">
        <v>2273.5741456000001</v>
      </c>
      <c r="DN119" s="35">
        <v>0</v>
      </c>
      <c r="DO119" s="35">
        <v>14.5939248</v>
      </c>
      <c r="DP119" s="35">
        <v>0</v>
      </c>
      <c r="DQ119" s="35">
        <v>0</v>
      </c>
      <c r="DR119" s="35">
        <v>68.528933999999992</v>
      </c>
      <c r="DS119" s="35">
        <v>0</v>
      </c>
      <c r="DT119" s="35">
        <v>0</v>
      </c>
      <c r="DU119" s="35">
        <v>0</v>
      </c>
      <c r="DV119" s="35">
        <v>0</v>
      </c>
      <c r="DW119" s="36">
        <v>19</v>
      </c>
      <c r="DX119" s="36">
        <v>24</v>
      </c>
      <c r="DY119" s="36">
        <v>77</v>
      </c>
      <c r="DZ119" s="36">
        <v>50</v>
      </c>
      <c r="EA119" s="36">
        <v>30</v>
      </c>
      <c r="EB119" s="29">
        <v>161</v>
      </c>
      <c r="EC119" s="29">
        <v>449</v>
      </c>
      <c r="ED119" s="29">
        <v>104</v>
      </c>
      <c r="EE119" s="29">
        <v>79.5</v>
      </c>
      <c r="EF119" s="29"/>
      <c r="EG119" s="29"/>
      <c r="EH119" s="29"/>
      <c r="EI119" s="29"/>
      <c r="EJ119" s="36"/>
      <c r="EK119" s="108">
        <v>265</v>
      </c>
      <c r="EL119" s="108">
        <v>0.47</v>
      </c>
      <c r="EM119" s="108">
        <v>36.799999999999997</v>
      </c>
      <c r="EN119" s="108">
        <v>35.9</v>
      </c>
      <c r="EO119" s="108">
        <v>35.5</v>
      </c>
      <c r="EP119" s="108"/>
      <c r="EQ119" s="110">
        <v>630000</v>
      </c>
      <c r="FB119" s="26">
        <v>0</v>
      </c>
      <c r="FC119" s="26">
        <v>0</v>
      </c>
      <c r="FD119" s="26">
        <v>0</v>
      </c>
      <c r="FE119" s="26">
        <v>0</v>
      </c>
      <c r="FF119" s="26">
        <v>0</v>
      </c>
      <c r="FG119" s="26">
        <v>26.731404761904763</v>
      </c>
      <c r="FH119" s="26">
        <v>0.34436507936507932</v>
      </c>
      <c r="FI119" s="26">
        <v>0</v>
      </c>
      <c r="FJ119" s="74">
        <v>0</v>
      </c>
      <c r="FK119" s="74">
        <v>14.631697032971402</v>
      </c>
      <c r="FL119" s="74">
        <v>0</v>
      </c>
      <c r="FM119" s="74">
        <v>0</v>
      </c>
      <c r="FN119" s="74">
        <v>0</v>
      </c>
      <c r="FO119" s="74">
        <v>7.5368972222222226</v>
      </c>
      <c r="FP119" s="26">
        <v>0</v>
      </c>
      <c r="FQ119" s="26">
        <v>0</v>
      </c>
      <c r="FR119" s="74">
        <v>0</v>
      </c>
      <c r="FS119" s="26">
        <v>22.829862962962963</v>
      </c>
      <c r="FT119" s="26">
        <v>0</v>
      </c>
      <c r="FU119" s="26">
        <v>0</v>
      </c>
      <c r="FV119" s="26">
        <v>0</v>
      </c>
      <c r="FW119" s="26">
        <v>1.3248500000000001</v>
      </c>
      <c r="FX119" s="26">
        <v>0</v>
      </c>
      <c r="FY119" s="26">
        <v>0</v>
      </c>
      <c r="FZ119" s="74">
        <v>0</v>
      </c>
      <c r="GA119" s="26">
        <v>0</v>
      </c>
      <c r="GB119" s="26">
        <v>0</v>
      </c>
      <c r="GC119" s="26">
        <v>0</v>
      </c>
      <c r="GD119"/>
    </row>
    <row r="120" spans="1:186" s="6" customFormat="1" x14ac:dyDescent="0.2">
      <c r="A120" s="60" t="s">
        <v>988</v>
      </c>
      <c r="B120" s="6" t="s">
        <v>989</v>
      </c>
      <c r="C120" s="6" t="s">
        <v>350</v>
      </c>
      <c r="D120" s="6" t="s">
        <v>876</v>
      </c>
      <c r="I120" s="6">
        <v>1</v>
      </c>
      <c r="L120" s="6" t="s">
        <v>346</v>
      </c>
      <c r="M120" s="6" t="s">
        <v>990</v>
      </c>
      <c r="N120" s="6" t="s">
        <v>270</v>
      </c>
      <c r="O120" s="6" t="s">
        <v>671</v>
      </c>
      <c r="P120" s="6" t="s">
        <v>672</v>
      </c>
      <c r="T120">
        <v>6.5762827953646728</v>
      </c>
      <c r="U120">
        <v>4.0562876287147542</v>
      </c>
      <c r="V120">
        <v>10.774602870414673</v>
      </c>
      <c r="W120">
        <v>6.1008028897358066</v>
      </c>
      <c r="X120">
        <v>0.78742540016536722</v>
      </c>
      <c r="Y120">
        <v>0.89039053308226346</v>
      </c>
      <c r="Z120"/>
      <c r="AA120"/>
      <c r="AB120" s="61"/>
      <c r="AC120" s="61"/>
      <c r="AD120" s="62"/>
      <c r="AE120" s="63"/>
      <c r="AF120" s="63"/>
      <c r="AG120" s="6" t="s">
        <v>348</v>
      </c>
      <c r="AH120" s="6" t="s">
        <v>349</v>
      </c>
      <c r="AI120" s="2"/>
      <c r="AJ120" s="3" t="s">
        <v>350</v>
      </c>
      <c r="AK120" s="3" t="s">
        <v>270</v>
      </c>
      <c r="AL120" s="6">
        <v>597</v>
      </c>
      <c r="EK120"/>
      <c r="EL120"/>
      <c r="EM120"/>
      <c r="EN120"/>
      <c r="EO120"/>
      <c r="EP120"/>
      <c r="EQ120"/>
      <c r="GD120"/>
    </row>
    <row r="121" spans="1:186" s="6" customFormat="1" x14ac:dyDescent="0.2">
      <c r="A121" s="60" t="s">
        <v>946</v>
      </c>
      <c r="B121" s="6" t="s">
        <v>1009</v>
      </c>
      <c r="C121" s="6" t="s">
        <v>525</v>
      </c>
      <c r="D121" s="6" t="s">
        <v>876</v>
      </c>
      <c r="I121" s="6">
        <v>1</v>
      </c>
      <c r="L121" s="6" t="s">
        <v>524</v>
      </c>
      <c r="M121" s="6" t="s">
        <v>1010</v>
      </c>
      <c r="N121" s="6" t="s">
        <v>192</v>
      </c>
      <c r="O121" s="6" t="s">
        <v>671</v>
      </c>
      <c r="P121" s="6" t="s">
        <v>672</v>
      </c>
      <c r="T121">
        <v>1.2558604206725201</v>
      </c>
      <c r="U121">
        <v>0.38195481402438136</v>
      </c>
      <c r="V121">
        <v>2.2124711065999776</v>
      </c>
      <c r="W121">
        <v>0.7467946328001146</v>
      </c>
      <c r="X121">
        <v>0.59736033467864924</v>
      </c>
      <c r="Y121">
        <v>0.84551620038506492</v>
      </c>
      <c r="Z121" s="64">
        <v>5</v>
      </c>
      <c r="AA121" s="64"/>
      <c r="AB121" s="61"/>
      <c r="AC121" s="61"/>
      <c r="AD121" s="62"/>
      <c r="AE121" s="63"/>
      <c r="AF121" s="63"/>
      <c r="AG121" s="6" t="s">
        <v>77</v>
      </c>
      <c r="AH121" s="6" t="s">
        <v>524</v>
      </c>
      <c r="AI121" s="5">
        <v>301860</v>
      </c>
      <c r="AJ121" s="3" t="s">
        <v>525</v>
      </c>
      <c r="AK121" s="3" t="s">
        <v>192</v>
      </c>
      <c r="AL121" s="6">
        <v>2740</v>
      </c>
      <c r="EK121"/>
      <c r="EL121"/>
      <c r="EM121"/>
      <c r="EN121"/>
      <c r="EO121"/>
      <c r="EP121"/>
      <c r="EQ121"/>
      <c r="FB121" s="67"/>
      <c r="FI121" s="65"/>
      <c r="GD121"/>
    </row>
    <row r="122" spans="1:186" s="6" customFormat="1" x14ac:dyDescent="0.2">
      <c r="A122" s="60" t="s">
        <v>919</v>
      </c>
      <c r="B122" s="6" t="s">
        <v>351</v>
      </c>
      <c r="C122" s="6" t="s">
        <v>353</v>
      </c>
      <c r="D122" s="6" t="s">
        <v>876</v>
      </c>
      <c r="H122" s="6">
        <v>1</v>
      </c>
      <c r="I122" s="6">
        <v>1</v>
      </c>
      <c r="L122" s="6" t="s">
        <v>349</v>
      </c>
      <c r="M122" s="6" t="s">
        <v>920</v>
      </c>
      <c r="N122" s="6" t="s">
        <v>197</v>
      </c>
      <c r="O122" s="6" t="s">
        <v>671</v>
      </c>
      <c r="P122" s="6" t="s">
        <v>672</v>
      </c>
      <c r="T122">
        <v>4.0738726762461521</v>
      </c>
      <c r="U122">
        <v>1.4472713257571592</v>
      </c>
      <c r="V122">
        <v>4.6360751575721793</v>
      </c>
      <c r="W122">
        <v>2.8519820829391351</v>
      </c>
      <c r="X122">
        <v>0.9139371423122491</v>
      </c>
      <c r="Y122">
        <v>0.95099837960357037</v>
      </c>
      <c r="Z122" s="64">
        <v>31</v>
      </c>
      <c r="AA122" s="64"/>
      <c r="AB122" s="61"/>
      <c r="AC122" s="61"/>
      <c r="AD122" s="62"/>
      <c r="AE122" s="63"/>
      <c r="AF122" s="63"/>
      <c r="AG122" s="6" t="s">
        <v>351</v>
      </c>
      <c r="AH122" s="6" t="s">
        <v>352</v>
      </c>
      <c r="AI122" s="2"/>
      <c r="AJ122" s="3" t="s">
        <v>353</v>
      </c>
      <c r="AK122" s="3" t="s">
        <v>197</v>
      </c>
      <c r="AL122" s="6">
        <v>601</v>
      </c>
      <c r="EK122"/>
      <c r="EL122"/>
      <c r="EM122"/>
      <c r="EN122"/>
      <c r="EO122"/>
      <c r="EP122"/>
      <c r="EQ122"/>
      <c r="EW122" s="6">
        <v>104.31666666666666</v>
      </c>
      <c r="EX122" s="6">
        <v>177.58666666666667</v>
      </c>
      <c r="EY122" s="65">
        <v>32.07</v>
      </c>
      <c r="EZ122" s="6">
        <v>49.4</v>
      </c>
      <c r="FA122" s="6">
        <v>110.69666666666666</v>
      </c>
      <c r="GD122"/>
    </row>
    <row r="123" spans="1:186" s="6" customFormat="1" x14ac:dyDescent="0.2">
      <c r="A123" s="60" t="s">
        <v>862</v>
      </c>
      <c r="B123" s="6" t="s">
        <v>863</v>
      </c>
      <c r="C123" s="6" t="s">
        <v>384</v>
      </c>
      <c r="D123" s="6" t="s">
        <v>255</v>
      </c>
      <c r="F123" s="6">
        <v>301739</v>
      </c>
      <c r="H123" s="6">
        <v>1</v>
      </c>
      <c r="I123" s="6">
        <v>1</v>
      </c>
      <c r="J123" s="6">
        <v>1</v>
      </c>
      <c r="L123" s="6" t="s">
        <v>381</v>
      </c>
      <c r="M123" s="6" t="s">
        <v>864</v>
      </c>
      <c r="N123" s="6" t="s">
        <v>201</v>
      </c>
      <c r="O123" s="6" t="s">
        <v>671</v>
      </c>
      <c r="P123" s="6" t="s">
        <v>672</v>
      </c>
      <c r="T123">
        <v>10000</v>
      </c>
      <c r="U123">
        <v>10000</v>
      </c>
      <c r="V123">
        <v>10000</v>
      </c>
      <c r="W123">
        <v>10000</v>
      </c>
      <c r="X123">
        <v>6.2447932333773964E-2</v>
      </c>
      <c r="Y123">
        <v>0.11785470111326249</v>
      </c>
      <c r="Z123" s="64">
        <v>127</v>
      </c>
      <c r="AA123" s="64"/>
      <c r="AB123" s="61"/>
      <c r="AC123" s="61"/>
      <c r="AD123" s="62"/>
      <c r="AE123" s="63"/>
      <c r="AF123" s="63"/>
      <c r="AG123" s="6" t="s">
        <v>382</v>
      </c>
      <c r="AH123" s="6" t="s">
        <v>383</v>
      </c>
      <c r="AI123" s="2"/>
      <c r="AJ123" s="3" t="s">
        <v>384</v>
      </c>
      <c r="AK123" s="3" t="s">
        <v>201</v>
      </c>
      <c r="AL123" s="6">
        <v>696</v>
      </c>
      <c r="AM123" s="6" t="s">
        <v>193</v>
      </c>
      <c r="AN123" s="6" t="s">
        <v>385</v>
      </c>
      <c r="EK123"/>
      <c r="EL123"/>
      <c r="EM123"/>
      <c r="EN123"/>
      <c r="EO123"/>
      <c r="EP123"/>
      <c r="EQ123"/>
      <c r="ER123" s="67">
        <v>390.90666666666658</v>
      </c>
      <c r="ES123" s="6">
        <v>360.8533333333333</v>
      </c>
      <c r="ET123" s="6">
        <v>40.56</v>
      </c>
      <c r="EU123" s="6">
        <v>51.9</v>
      </c>
      <c r="EV123" s="6">
        <v>38.263333333333335</v>
      </c>
      <c r="FB123" s="6">
        <v>0</v>
      </c>
      <c r="FC123" s="6">
        <v>0</v>
      </c>
      <c r="FD123" s="6">
        <v>0</v>
      </c>
      <c r="FE123" s="6">
        <v>0</v>
      </c>
      <c r="FF123" s="6">
        <v>0</v>
      </c>
      <c r="FG123" s="6">
        <v>0</v>
      </c>
      <c r="FH123" s="6">
        <v>0</v>
      </c>
      <c r="FI123" s="6">
        <v>0</v>
      </c>
      <c r="FJ123" s="66">
        <v>0</v>
      </c>
      <c r="FK123" s="66">
        <v>0</v>
      </c>
      <c r="FL123" s="66">
        <v>0</v>
      </c>
      <c r="FM123" s="66">
        <v>0</v>
      </c>
      <c r="FN123" s="66">
        <v>0</v>
      </c>
      <c r="FO123" s="66">
        <v>0</v>
      </c>
      <c r="FP123" s="6">
        <v>0</v>
      </c>
      <c r="FQ123" s="6">
        <v>0</v>
      </c>
      <c r="FR123" s="66">
        <v>0</v>
      </c>
      <c r="FS123" s="6">
        <v>0</v>
      </c>
      <c r="FT123" s="6">
        <v>0</v>
      </c>
      <c r="FU123" s="6">
        <v>0</v>
      </c>
      <c r="FV123" s="6">
        <v>0</v>
      </c>
      <c r="FW123" s="6">
        <v>0</v>
      </c>
      <c r="FX123" s="6">
        <v>0</v>
      </c>
      <c r="FY123" s="6">
        <v>0</v>
      </c>
      <c r="FZ123" s="66">
        <v>0</v>
      </c>
      <c r="GA123" s="6">
        <v>0</v>
      </c>
      <c r="GB123" s="6">
        <v>0</v>
      </c>
      <c r="GC123" s="6">
        <v>0</v>
      </c>
      <c r="GD123"/>
    </row>
    <row r="124" spans="1:186" s="6" customFormat="1" x14ac:dyDescent="0.2">
      <c r="A124" s="60" t="s">
        <v>914</v>
      </c>
      <c r="B124" s="6" t="s">
        <v>321</v>
      </c>
      <c r="C124" s="6" t="s">
        <v>323</v>
      </c>
      <c r="D124" s="6" t="s">
        <v>876</v>
      </c>
      <c r="H124" s="6">
        <v>1</v>
      </c>
      <c r="I124" s="6">
        <v>1</v>
      </c>
      <c r="L124" s="6" t="s">
        <v>915</v>
      </c>
      <c r="M124" s="6" t="s">
        <v>916</v>
      </c>
      <c r="N124" s="6" t="s">
        <v>197</v>
      </c>
      <c r="O124" s="6" t="s">
        <v>667</v>
      </c>
      <c r="P124" s="6" t="s">
        <v>668</v>
      </c>
      <c r="T124">
        <v>10.953519114985978</v>
      </c>
      <c r="U124">
        <v>4.4814247002335046</v>
      </c>
      <c r="V124">
        <v>32.063745980144098</v>
      </c>
      <c r="W124">
        <v>15.746053186231668</v>
      </c>
      <c r="X124">
        <v>0.4545008779533139</v>
      </c>
      <c r="Y124">
        <v>0.70741175688545921</v>
      </c>
      <c r="Z124" s="64">
        <v>199</v>
      </c>
      <c r="AA124" s="64"/>
      <c r="AB124" s="61"/>
      <c r="AC124" s="61"/>
      <c r="AD124" s="62"/>
      <c r="AE124" s="63"/>
      <c r="AF124" s="63"/>
      <c r="AG124" s="6" t="s">
        <v>321</v>
      </c>
      <c r="AH124" s="6" t="s">
        <v>322</v>
      </c>
      <c r="AI124" s="2"/>
      <c r="AJ124" s="3" t="s">
        <v>323</v>
      </c>
      <c r="AK124" s="3" t="s">
        <v>197</v>
      </c>
      <c r="AL124" s="6">
        <v>503</v>
      </c>
      <c r="EK124"/>
      <c r="EL124"/>
      <c r="EM124"/>
      <c r="EN124"/>
      <c r="EO124"/>
      <c r="EP124"/>
      <c r="EQ124"/>
      <c r="EW124" s="6">
        <v>1001.4966666666666</v>
      </c>
      <c r="EX124" s="6">
        <v>448.79333333333329</v>
      </c>
      <c r="EY124" s="65">
        <v>349.31666666666661</v>
      </c>
      <c r="EZ124" s="6">
        <v>592.66</v>
      </c>
      <c r="FA124" s="6">
        <v>1617.7633333333333</v>
      </c>
      <c r="FB124" s="65"/>
      <c r="GD124"/>
    </row>
    <row r="125" spans="1:186" s="6" customFormat="1" x14ac:dyDescent="0.2">
      <c r="A125" s="60" t="s">
        <v>818</v>
      </c>
      <c r="B125" s="6" t="s">
        <v>202</v>
      </c>
      <c r="C125" s="6" t="s">
        <v>48</v>
      </c>
      <c r="D125" s="6" t="s">
        <v>805</v>
      </c>
      <c r="F125" s="6">
        <v>300305</v>
      </c>
      <c r="H125" s="6">
        <v>1</v>
      </c>
      <c r="I125" s="6">
        <v>1</v>
      </c>
      <c r="J125" s="6">
        <v>1</v>
      </c>
      <c r="L125" s="6" t="s">
        <v>203</v>
      </c>
      <c r="M125" s="6" t="s">
        <v>819</v>
      </c>
      <c r="N125" s="6" t="s">
        <v>192</v>
      </c>
      <c r="O125" s="6" t="s">
        <v>671</v>
      </c>
      <c r="P125" s="6" t="s">
        <v>672</v>
      </c>
      <c r="T125">
        <v>1.0564244929976205</v>
      </c>
      <c r="U125">
        <v>0.5872555505680167</v>
      </c>
      <c r="V125">
        <v>1.2024770209128648</v>
      </c>
      <c r="W125">
        <v>1.035437837892679</v>
      </c>
      <c r="X125">
        <v>0.78208254902838348</v>
      </c>
      <c r="Y125">
        <v>0.82307439760737322</v>
      </c>
      <c r="Z125" s="64">
        <v>108</v>
      </c>
      <c r="AA125" s="64"/>
      <c r="AB125" s="61"/>
      <c r="AC125" s="61"/>
      <c r="AD125" s="62"/>
      <c r="AE125" s="63"/>
      <c r="AF125" s="63"/>
      <c r="AG125" s="6" t="s">
        <v>202</v>
      </c>
      <c r="AH125" s="6" t="s">
        <v>203</v>
      </c>
      <c r="AI125" s="4">
        <v>300305</v>
      </c>
      <c r="AJ125" s="3" t="s">
        <v>48</v>
      </c>
      <c r="AK125" s="3" t="s">
        <v>192</v>
      </c>
      <c r="AL125" s="6">
        <v>58</v>
      </c>
      <c r="AM125" s="6" t="s">
        <v>193</v>
      </c>
      <c r="CT125" s="15">
        <v>0</v>
      </c>
      <c r="CU125" s="15">
        <v>0</v>
      </c>
      <c r="CV125" s="15">
        <v>0</v>
      </c>
      <c r="CW125" s="15">
        <v>0</v>
      </c>
      <c r="CX125" s="15">
        <v>0</v>
      </c>
      <c r="CY125" s="15">
        <v>0</v>
      </c>
      <c r="CZ125" s="15">
        <v>0</v>
      </c>
      <c r="DA125" s="15">
        <v>0</v>
      </c>
      <c r="DB125" s="15">
        <v>0</v>
      </c>
      <c r="DC125" s="15">
        <v>0</v>
      </c>
      <c r="DD125" s="15">
        <v>0</v>
      </c>
      <c r="DE125" s="15">
        <v>0</v>
      </c>
      <c r="DF125" s="15">
        <v>0</v>
      </c>
      <c r="DG125" s="15">
        <v>0</v>
      </c>
      <c r="DH125" s="15">
        <v>0</v>
      </c>
      <c r="DI125" s="15">
        <v>0</v>
      </c>
      <c r="DJ125" s="15">
        <v>0</v>
      </c>
      <c r="DK125" s="15">
        <v>0</v>
      </c>
      <c r="DL125" s="15">
        <v>0</v>
      </c>
      <c r="DM125" s="15">
        <v>0</v>
      </c>
      <c r="DN125" s="16">
        <v>0</v>
      </c>
      <c r="DO125" s="16">
        <v>0</v>
      </c>
      <c r="DP125" s="16">
        <v>0</v>
      </c>
      <c r="DQ125" s="16">
        <v>0</v>
      </c>
      <c r="DR125" s="21"/>
      <c r="DS125" s="16">
        <v>0</v>
      </c>
      <c r="DT125" s="16">
        <v>0</v>
      </c>
      <c r="DU125" s="16">
        <v>0</v>
      </c>
      <c r="DV125" s="16">
        <v>0</v>
      </c>
      <c r="DW125" s="15"/>
      <c r="DX125" s="15"/>
      <c r="DY125" s="15"/>
      <c r="DZ125" s="15"/>
      <c r="EA125" s="15"/>
      <c r="EB125" s="15"/>
      <c r="EC125" s="15"/>
      <c r="ED125" s="15"/>
      <c r="EE125" s="15"/>
      <c r="EF125" s="15"/>
      <c r="EG125" s="15"/>
      <c r="EH125" s="15"/>
      <c r="EI125" s="15"/>
      <c r="EJ125" s="15"/>
      <c r="EK125"/>
      <c r="EL125"/>
      <c r="EM125"/>
      <c r="EN125"/>
      <c r="EO125"/>
      <c r="EP125"/>
      <c r="EQ125"/>
      <c r="ER125" s="65">
        <v>3967.6933333333341</v>
      </c>
      <c r="ES125" s="6">
        <v>1591.3666666666668</v>
      </c>
      <c r="ET125" s="6">
        <v>1390.71</v>
      </c>
      <c r="EU125" s="6">
        <v>359.08666666666664</v>
      </c>
      <c r="EV125" s="6">
        <v>1090.8533333333332</v>
      </c>
      <c r="FB125" s="75"/>
      <c r="GD125"/>
    </row>
    <row r="126" spans="1:186" s="6" customFormat="1" x14ac:dyDescent="0.2">
      <c r="A126" s="60" t="s">
        <v>904</v>
      </c>
      <c r="B126" s="6" t="s">
        <v>581</v>
      </c>
      <c r="C126" s="6" t="s">
        <v>296</v>
      </c>
      <c r="D126" s="6" t="s">
        <v>876</v>
      </c>
      <c r="H126" s="6">
        <v>1</v>
      </c>
      <c r="I126" s="6">
        <v>1</v>
      </c>
      <c r="L126" s="6" t="s">
        <v>295</v>
      </c>
      <c r="M126" s="6" t="s">
        <v>905</v>
      </c>
      <c r="N126" s="6" t="s">
        <v>201</v>
      </c>
      <c r="O126" s="6" t="s">
        <v>671</v>
      </c>
      <c r="P126" s="6" t="s">
        <v>672</v>
      </c>
      <c r="T126">
        <v>265.9068236321005</v>
      </c>
      <c r="U126">
        <v>6.4337988535848298</v>
      </c>
      <c r="V126">
        <v>10000</v>
      </c>
      <c r="W126">
        <v>24.599242710878002</v>
      </c>
      <c r="X126">
        <v>5.278766531021066E-2</v>
      </c>
      <c r="Y126">
        <v>8.5126522913695268E-2</v>
      </c>
      <c r="Z126" s="64">
        <v>104</v>
      </c>
      <c r="AA126" s="64"/>
      <c r="AB126" s="61"/>
      <c r="AC126" s="61"/>
      <c r="AD126" s="62"/>
      <c r="AE126" s="63"/>
      <c r="AF126" s="63"/>
      <c r="AG126" s="6" t="s">
        <v>294</v>
      </c>
      <c r="AH126" s="6" t="s">
        <v>295</v>
      </c>
      <c r="AI126" s="2"/>
      <c r="AJ126" s="3" t="s">
        <v>296</v>
      </c>
      <c r="AK126" s="3" t="s">
        <v>201</v>
      </c>
      <c r="AL126" s="6">
        <v>416</v>
      </c>
      <c r="AM126" s="6" t="s">
        <v>193</v>
      </c>
      <c r="EK126"/>
      <c r="EL126"/>
      <c r="EM126"/>
      <c r="EN126"/>
      <c r="EO126"/>
      <c r="EP126"/>
      <c r="EQ126"/>
      <c r="ER126" s="67">
        <v>1684.4800000000002</v>
      </c>
      <c r="ES126" s="6">
        <v>554.96</v>
      </c>
      <c r="ET126" s="6">
        <v>42.656666666666666</v>
      </c>
      <c r="EU126" s="6">
        <v>63.783333333333331</v>
      </c>
      <c r="EV126" s="6">
        <v>14.543333333333331</v>
      </c>
      <c r="FB126" s="6">
        <v>0</v>
      </c>
      <c r="FC126" s="6">
        <v>0</v>
      </c>
      <c r="FD126" s="6">
        <v>0</v>
      </c>
      <c r="FE126" s="6">
        <v>0</v>
      </c>
      <c r="FF126" s="6">
        <v>0</v>
      </c>
      <c r="FG126" s="6">
        <v>0</v>
      </c>
      <c r="FH126" s="6">
        <v>0</v>
      </c>
      <c r="FI126" s="6">
        <v>0</v>
      </c>
      <c r="FJ126" s="66">
        <v>0</v>
      </c>
      <c r="FK126" s="66">
        <v>0</v>
      </c>
      <c r="FL126" s="66">
        <v>0</v>
      </c>
      <c r="FM126" s="66">
        <v>3.1087586206896552E-2</v>
      </c>
      <c r="FN126" s="66">
        <v>0</v>
      </c>
      <c r="FO126" s="66">
        <v>0</v>
      </c>
      <c r="FP126" s="6">
        <v>0</v>
      </c>
      <c r="FQ126" s="6">
        <v>0</v>
      </c>
      <c r="FR126" s="66">
        <v>0</v>
      </c>
      <c r="FS126" s="6">
        <v>0</v>
      </c>
      <c r="FT126" s="6">
        <v>0</v>
      </c>
      <c r="FU126" s="6">
        <v>0</v>
      </c>
      <c r="FV126" s="6">
        <v>0</v>
      </c>
      <c r="FW126" s="6">
        <v>0</v>
      </c>
      <c r="FX126" s="6">
        <v>0</v>
      </c>
      <c r="FY126" s="6">
        <v>0</v>
      </c>
      <c r="FZ126" s="66">
        <v>0</v>
      </c>
      <c r="GA126" s="6">
        <v>0</v>
      </c>
      <c r="GB126" s="6">
        <v>0</v>
      </c>
      <c r="GC126" s="6">
        <v>0</v>
      </c>
      <c r="GD126"/>
    </row>
    <row r="127" spans="1:186" s="6" customFormat="1" x14ac:dyDescent="0.2">
      <c r="A127" s="60" t="s">
        <v>734</v>
      </c>
      <c r="B127" s="6" t="s">
        <v>406</v>
      </c>
      <c r="C127" s="6" t="s">
        <v>408</v>
      </c>
      <c r="D127" s="6" t="s">
        <v>876</v>
      </c>
      <c r="I127" s="6">
        <v>1</v>
      </c>
      <c r="L127" s="6" t="s">
        <v>401</v>
      </c>
      <c r="M127" s="6" t="s">
        <v>1001</v>
      </c>
      <c r="N127" s="6" t="s">
        <v>197</v>
      </c>
      <c r="O127" s="6" t="s">
        <v>671</v>
      </c>
      <c r="P127" s="6" t="s">
        <v>672</v>
      </c>
      <c r="T127">
        <v>10000</v>
      </c>
      <c r="U127">
        <v>10000</v>
      </c>
      <c r="V127">
        <v>10000</v>
      </c>
      <c r="W127">
        <v>10000</v>
      </c>
      <c r="X127">
        <v>5.2024582333475559E-2</v>
      </c>
      <c r="Y127">
        <v>8.3016808129438721E-2</v>
      </c>
      <c r="Z127"/>
      <c r="AA127"/>
      <c r="AB127" s="61"/>
      <c r="AC127" s="61"/>
      <c r="AD127" s="62"/>
      <c r="AE127" s="63"/>
      <c r="AF127" s="63"/>
      <c r="AG127" s="6" t="s">
        <v>406</v>
      </c>
      <c r="AH127" s="6" t="s">
        <v>407</v>
      </c>
      <c r="AI127" s="2"/>
      <c r="AJ127" s="3" t="s">
        <v>408</v>
      </c>
      <c r="AK127" s="3" t="s">
        <v>197</v>
      </c>
      <c r="AL127" s="6">
        <v>770</v>
      </c>
      <c r="EK127"/>
      <c r="EL127"/>
      <c r="EM127"/>
      <c r="EN127"/>
      <c r="EO127"/>
      <c r="EP127"/>
      <c r="EQ127"/>
      <c r="FI127" s="65"/>
      <c r="GD127"/>
    </row>
    <row r="128" spans="1:186" s="6" customFormat="1" x14ac:dyDescent="0.2">
      <c r="A128" s="60" t="s">
        <v>860</v>
      </c>
      <c r="B128" s="6" t="s">
        <v>587</v>
      </c>
      <c r="C128" s="6" t="s">
        <v>200</v>
      </c>
      <c r="D128" s="6" t="s">
        <v>255</v>
      </c>
      <c r="F128" s="6">
        <v>301737</v>
      </c>
      <c r="H128" s="6">
        <v>1</v>
      </c>
      <c r="I128" s="6">
        <v>1</v>
      </c>
      <c r="J128" s="6">
        <v>1</v>
      </c>
      <c r="L128" s="6" t="s">
        <v>199</v>
      </c>
      <c r="M128" s="6" t="s">
        <v>861</v>
      </c>
      <c r="N128" s="6" t="s">
        <v>201</v>
      </c>
      <c r="O128" s="6" t="s">
        <v>671</v>
      </c>
      <c r="P128" s="6" t="s">
        <v>672</v>
      </c>
      <c r="T128">
        <v>0.29933050637559849</v>
      </c>
      <c r="U128">
        <v>3.7474423087009823E-2</v>
      </c>
      <c r="V128">
        <v>0.76407958105729801</v>
      </c>
      <c r="W128">
        <v>9.7978706829984996E-2</v>
      </c>
      <c r="X128">
        <v>0.82127181490059442</v>
      </c>
      <c r="Y128">
        <v>0.98012178406579376</v>
      </c>
      <c r="Z128" s="64">
        <v>148</v>
      </c>
      <c r="AA128" s="64"/>
      <c r="AB128" s="61"/>
      <c r="AC128" s="61"/>
      <c r="AD128" s="62"/>
      <c r="AE128" s="63"/>
      <c r="AF128" s="63"/>
      <c r="AG128" s="6" t="s">
        <v>198</v>
      </c>
      <c r="AH128" s="6" t="s">
        <v>199</v>
      </c>
      <c r="AI128" s="2"/>
      <c r="AJ128" s="3" t="s">
        <v>200</v>
      </c>
      <c r="AK128" s="3" t="s">
        <v>201</v>
      </c>
      <c r="AL128" s="6">
        <v>57</v>
      </c>
      <c r="AM128" s="6" t="s">
        <v>193</v>
      </c>
      <c r="EK128"/>
      <c r="EL128"/>
      <c r="EM128"/>
      <c r="EN128"/>
      <c r="EO128"/>
      <c r="EP128"/>
      <c r="EQ128"/>
      <c r="ER128" s="75">
        <v>0</v>
      </c>
      <c r="ES128" s="6">
        <v>0</v>
      </c>
      <c r="ET128" s="6">
        <v>91.399999999999991</v>
      </c>
      <c r="EU128" s="6">
        <v>99.816666666666663</v>
      </c>
      <c r="EV128" s="6">
        <v>87.13</v>
      </c>
      <c r="FB128" s="6">
        <v>0</v>
      </c>
      <c r="FC128" s="6">
        <v>0</v>
      </c>
      <c r="FD128" s="6">
        <v>0</v>
      </c>
      <c r="FE128" s="6">
        <v>0</v>
      </c>
      <c r="FF128" s="6">
        <v>0</v>
      </c>
      <c r="FG128" s="6">
        <v>3.1404761904761901E-2</v>
      </c>
      <c r="FH128" s="6">
        <v>0</v>
      </c>
      <c r="FI128" s="6">
        <v>0</v>
      </c>
      <c r="FJ128" s="66">
        <v>0</v>
      </c>
      <c r="FK128" s="66">
        <v>0</v>
      </c>
      <c r="FL128" s="66">
        <v>0</v>
      </c>
      <c r="FM128" s="66">
        <v>0</v>
      </c>
      <c r="FN128" s="66">
        <v>0</v>
      </c>
      <c r="FO128" s="66">
        <v>0</v>
      </c>
      <c r="FP128" s="6">
        <v>0</v>
      </c>
      <c r="FQ128" s="6">
        <v>0</v>
      </c>
      <c r="FR128" s="66">
        <v>0</v>
      </c>
      <c r="FS128" s="6">
        <v>2.7360493827160496E-2</v>
      </c>
      <c r="FT128" s="6">
        <v>0</v>
      </c>
      <c r="FU128" s="6">
        <v>0</v>
      </c>
      <c r="FV128" s="6">
        <v>0</v>
      </c>
      <c r="FW128" s="6">
        <v>1.495833333333333E-2</v>
      </c>
      <c r="FX128" s="6">
        <v>0</v>
      </c>
      <c r="FY128" s="6">
        <v>0</v>
      </c>
      <c r="FZ128" s="66">
        <v>0</v>
      </c>
      <c r="GA128" s="6">
        <v>0</v>
      </c>
      <c r="GB128" s="6">
        <v>0</v>
      </c>
      <c r="GC128" s="6">
        <v>0</v>
      </c>
      <c r="GD128"/>
    </row>
    <row r="129" spans="1:186" s="6" customFormat="1" x14ac:dyDescent="0.2">
      <c r="A129" s="60" t="s">
        <v>921</v>
      </c>
      <c r="B129" s="6" t="s">
        <v>354</v>
      </c>
      <c r="C129" s="6" t="s">
        <v>356</v>
      </c>
      <c r="D129" s="6" t="s">
        <v>876</v>
      </c>
      <c r="H129" s="6">
        <v>1</v>
      </c>
      <c r="I129" s="6">
        <v>1</v>
      </c>
      <c r="L129" s="6" t="s">
        <v>352</v>
      </c>
      <c r="M129" s="6" t="s">
        <v>922</v>
      </c>
      <c r="N129" s="6" t="s">
        <v>197</v>
      </c>
      <c r="O129" s="6" t="s">
        <v>671</v>
      </c>
      <c r="P129" s="6" t="s">
        <v>672</v>
      </c>
      <c r="T129">
        <v>2.7978578523918025</v>
      </c>
      <c r="U129">
        <v>4.3640020112732278</v>
      </c>
      <c r="V129">
        <v>10.116294853188299</v>
      </c>
      <c r="W129">
        <v>4.9414187472400508</v>
      </c>
      <c r="X129">
        <v>0.76650038953798461</v>
      </c>
      <c r="Y129">
        <v>0.90946492153113556</v>
      </c>
      <c r="Z129" s="64">
        <v>110</v>
      </c>
      <c r="AA129" s="64"/>
      <c r="AB129" s="61"/>
      <c r="AC129" s="61"/>
      <c r="AD129" s="62"/>
      <c r="AE129" s="63"/>
      <c r="AF129" s="63"/>
      <c r="AG129" s="6" t="s">
        <v>354</v>
      </c>
      <c r="AH129" s="6" t="s">
        <v>355</v>
      </c>
      <c r="AI129" s="2"/>
      <c r="AJ129" s="3" t="s">
        <v>356</v>
      </c>
      <c r="AK129" s="3" t="s">
        <v>197</v>
      </c>
      <c r="AL129" s="6">
        <v>602</v>
      </c>
      <c r="EK129"/>
      <c r="EL129"/>
      <c r="EM129"/>
      <c r="EN129"/>
      <c r="EO129"/>
      <c r="EP129"/>
      <c r="EQ129"/>
      <c r="EW129" s="6">
        <v>7.163333333333334</v>
      </c>
      <c r="EX129" s="6">
        <v>7.43</v>
      </c>
      <c r="EY129" s="65">
        <v>45.22</v>
      </c>
      <c r="EZ129" s="6">
        <v>46.59</v>
      </c>
      <c r="FA129" s="6">
        <v>244.65666666666667</v>
      </c>
      <c r="FB129" s="78"/>
      <c r="GD129"/>
    </row>
    <row r="130" spans="1:186" s="6" customFormat="1" ht="16" x14ac:dyDescent="0.2">
      <c r="A130" s="60" t="s">
        <v>793</v>
      </c>
      <c r="B130" s="6" t="s">
        <v>570</v>
      </c>
      <c r="C130" s="6" t="s">
        <v>571</v>
      </c>
      <c r="D130" s="6" t="s">
        <v>876</v>
      </c>
      <c r="G130" s="6">
        <v>1</v>
      </c>
      <c r="L130" s="6" t="s">
        <v>876</v>
      </c>
      <c r="M130" s="6" t="s">
        <v>876</v>
      </c>
      <c r="N130" s="6" t="s">
        <v>876</v>
      </c>
      <c r="O130" s="6" t="s">
        <v>876</v>
      </c>
      <c r="P130" s="6" t="s">
        <v>876</v>
      </c>
      <c r="T130"/>
      <c r="U130"/>
      <c r="V130"/>
      <c r="W130"/>
      <c r="X130"/>
      <c r="Y130"/>
      <c r="Z130"/>
      <c r="AA130"/>
      <c r="AB130" s="61"/>
      <c r="AC130" s="61"/>
      <c r="AD130" s="62"/>
      <c r="AE130" s="63"/>
      <c r="AF130" s="63"/>
      <c r="AG130" s="6" t="s">
        <v>570</v>
      </c>
      <c r="AI130" s="2"/>
      <c r="AJ130" s="20" t="s">
        <v>571</v>
      </c>
      <c r="AK130" s="3" t="s">
        <v>427</v>
      </c>
      <c r="AM130" s="6" t="s">
        <v>189</v>
      </c>
      <c r="EK130" s="106"/>
      <c r="EL130" s="106"/>
      <c r="EM130" s="106"/>
      <c r="EN130" s="106"/>
      <c r="EO130" s="106"/>
      <c r="EP130" s="106"/>
      <c r="EQ130" s="106"/>
      <c r="GD130"/>
    </row>
    <row r="131" spans="1:186" s="6" customFormat="1" x14ac:dyDescent="0.2">
      <c r="A131" s="60" t="s">
        <v>910</v>
      </c>
      <c r="B131" s="6" t="s">
        <v>315</v>
      </c>
      <c r="C131" s="6" t="s">
        <v>317</v>
      </c>
      <c r="D131" s="6" t="s">
        <v>876</v>
      </c>
      <c r="E131" s="6" t="s">
        <v>621</v>
      </c>
      <c r="H131" s="6">
        <v>1</v>
      </c>
      <c r="I131" s="6">
        <v>1</v>
      </c>
      <c r="L131" s="6" t="s">
        <v>313</v>
      </c>
      <c r="M131" s="6" t="s">
        <v>911</v>
      </c>
      <c r="N131" s="6" t="s">
        <v>197</v>
      </c>
      <c r="O131" s="6" t="s">
        <v>671</v>
      </c>
      <c r="P131" s="6" t="s">
        <v>672</v>
      </c>
      <c r="T131">
        <v>2.3766864418888325</v>
      </c>
      <c r="U131">
        <v>1.1065759441888521</v>
      </c>
      <c r="V131">
        <v>11.960795359087181</v>
      </c>
      <c r="W131">
        <v>7.2799567371231557</v>
      </c>
      <c r="X131">
        <v>0.69521698042680524</v>
      </c>
      <c r="Y131">
        <v>0.80112115858888189</v>
      </c>
      <c r="Z131" s="64">
        <v>30</v>
      </c>
      <c r="AA131" s="64"/>
      <c r="AB131" s="61"/>
      <c r="AC131" s="61"/>
      <c r="AD131" s="62"/>
      <c r="AE131" s="63"/>
      <c r="AF131" s="63"/>
      <c r="AG131" s="6" t="s">
        <v>315</v>
      </c>
      <c r="AH131" s="6" t="s">
        <v>316</v>
      </c>
      <c r="AI131" s="2"/>
      <c r="AJ131" s="3" t="s">
        <v>317</v>
      </c>
      <c r="AK131" s="3" t="s">
        <v>197</v>
      </c>
      <c r="AL131" s="6">
        <v>501</v>
      </c>
      <c r="EK131"/>
      <c r="EL131"/>
      <c r="EM131"/>
      <c r="EN131"/>
      <c r="EO131"/>
      <c r="EP131"/>
      <c r="EQ131"/>
      <c r="EW131">
        <v>0</v>
      </c>
      <c r="EX131">
        <v>0</v>
      </c>
      <c r="EY131" s="91">
        <v>0</v>
      </c>
      <c r="EZ131">
        <v>0</v>
      </c>
      <c r="FA131">
        <v>81.986666666666665</v>
      </c>
      <c r="FB131" s="75"/>
      <c r="GD131"/>
    </row>
    <row r="132" spans="1:186" s="6" customFormat="1" x14ac:dyDescent="0.2">
      <c r="A132" s="60" t="s">
        <v>763</v>
      </c>
      <c r="B132" s="6" t="s">
        <v>143</v>
      </c>
      <c r="C132" s="6" t="s">
        <v>11</v>
      </c>
      <c r="D132" s="6" t="s">
        <v>255</v>
      </c>
      <c r="F132" s="6">
        <v>300312</v>
      </c>
      <c r="G132" s="6">
        <v>1</v>
      </c>
      <c r="I132" s="6">
        <v>1</v>
      </c>
      <c r="J132" s="6">
        <v>1</v>
      </c>
      <c r="L132" s="6" t="s">
        <v>412</v>
      </c>
      <c r="M132" s="6" t="s">
        <v>766</v>
      </c>
      <c r="N132" s="6" t="s">
        <v>188</v>
      </c>
      <c r="O132" s="6" t="s">
        <v>671</v>
      </c>
      <c r="P132" s="6" t="s">
        <v>672</v>
      </c>
      <c r="T132" s="6">
        <v>14.70684893396267</v>
      </c>
      <c r="U132" s="6">
        <v>8.627162496465802</v>
      </c>
      <c r="V132" s="6">
        <v>10000</v>
      </c>
      <c r="W132" s="6">
        <v>10000</v>
      </c>
      <c r="X132" s="6">
        <v>0.13691310978788823</v>
      </c>
      <c r="Y132" s="6">
        <v>0.19408514232826313</v>
      </c>
      <c r="AB132" s="61"/>
      <c r="AC132" s="61"/>
      <c r="AD132" s="62"/>
      <c r="AE132" s="63"/>
      <c r="AF132" s="63"/>
      <c r="AG132" s="6" t="s">
        <v>143</v>
      </c>
      <c r="AH132" s="6" t="s">
        <v>417</v>
      </c>
      <c r="AI132" s="2">
        <v>300312</v>
      </c>
      <c r="AJ132" s="3" t="s">
        <v>11</v>
      </c>
      <c r="AK132" s="3" t="s">
        <v>188</v>
      </c>
      <c r="AL132" s="6">
        <v>775</v>
      </c>
      <c r="AM132" s="6" t="s">
        <v>189</v>
      </c>
      <c r="AO132" s="9">
        <v>0</v>
      </c>
      <c r="AP132" s="9">
        <v>0</v>
      </c>
      <c r="AQ132" s="9">
        <v>0</v>
      </c>
      <c r="AR132" s="9">
        <v>0</v>
      </c>
      <c r="AS132" s="9">
        <v>0</v>
      </c>
      <c r="AT132" s="9">
        <v>23.6</v>
      </c>
      <c r="AU132" s="9">
        <v>0</v>
      </c>
      <c r="AV132" s="9">
        <v>0</v>
      </c>
      <c r="AW132" s="9">
        <v>0</v>
      </c>
      <c r="AX132" s="9">
        <v>0</v>
      </c>
      <c r="AY132" s="9">
        <v>0</v>
      </c>
      <c r="AZ132" s="9">
        <v>0</v>
      </c>
      <c r="BA132" s="10">
        <v>0</v>
      </c>
      <c r="BB132" s="10">
        <v>0</v>
      </c>
      <c r="BC132" s="10">
        <v>0</v>
      </c>
      <c r="BD132" s="10">
        <v>0</v>
      </c>
      <c r="BE132" s="10">
        <v>0</v>
      </c>
      <c r="BF132" s="10">
        <v>0</v>
      </c>
      <c r="BG132" s="10">
        <v>0</v>
      </c>
      <c r="BH132" s="10">
        <v>0</v>
      </c>
      <c r="BI132" s="10">
        <v>0</v>
      </c>
      <c r="BJ132" s="10">
        <v>0</v>
      </c>
      <c r="BK132" s="10">
        <v>0</v>
      </c>
      <c r="BL132" s="10">
        <v>0</v>
      </c>
      <c r="BM132" s="10">
        <v>0</v>
      </c>
      <c r="BN132" s="11">
        <v>0</v>
      </c>
      <c r="BO132" s="11">
        <v>0</v>
      </c>
      <c r="BP132" s="11">
        <v>0</v>
      </c>
      <c r="BQ132" s="11">
        <v>20.329316799999997</v>
      </c>
      <c r="BR132" s="11">
        <v>0</v>
      </c>
      <c r="BS132" s="11">
        <v>0</v>
      </c>
      <c r="BT132" s="11">
        <v>0</v>
      </c>
      <c r="BU132" s="11">
        <v>0</v>
      </c>
      <c r="BV132" s="11">
        <v>19.810019</v>
      </c>
      <c r="BW132" s="11">
        <v>0</v>
      </c>
      <c r="BX132" s="11">
        <v>0</v>
      </c>
      <c r="BY132" s="11">
        <v>0</v>
      </c>
      <c r="BZ132" s="11">
        <v>0</v>
      </c>
      <c r="CA132" s="11">
        <v>18.638178999999997</v>
      </c>
      <c r="CB132" s="11">
        <v>0</v>
      </c>
      <c r="CC132" s="11">
        <v>0</v>
      </c>
      <c r="CD132" s="11">
        <v>0</v>
      </c>
      <c r="CE132" s="11">
        <v>0</v>
      </c>
      <c r="CF132" s="11">
        <v>78.772131600000009</v>
      </c>
      <c r="CG132" s="11">
        <v>0</v>
      </c>
      <c r="CH132" s="11">
        <v>0</v>
      </c>
      <c r="CI132" s="11">
        <v>0</v>
      </c>
      <c r="CJ132" s="11">
        <v>0</v>
      </c>
      <c r="CK132" s="11">
        <v>0</v>
      </c>
      <c r="CL132" s="11">
        <v>0</v>
      </c>
      <c r="CM132" s="11">
        <v>0</v>
      </c>
      <c r="CN132" s="11">
        <v>0</v>
      </c>
      <c r="CO132" s="11">
        <v>0</v>
      </c>
      <c r="CP132" s="11">
        <v>0</v>
      </c>
      <c r="CQ132" s="11">
        <v>47.052162000000003</v>
      </c>
      <c r="CR132" s="11">
        <v>0</v>
      </c>
      <c r="CS132" s="11">
        <v>38.9053702</v>
      </c>
      <c r="CT132" s="18">
        <v>41.677720800000003</v>
      </c>
      <c r="CU132" s="18">
        <v>0</v>
      </c>
      <c r="CV132" s="18">
        <v>0</v>
      </c>
      <c r="CW132" s="18">
        <v>0</v>
      </c>
      <c r="CX132" s="18">
        <v>0</v>
      </c>
      <c r="CY132" s="18">
        <v>0</v>
      </c>
      <c r="CZ132" s="18">
        <v>0</v>
      </c>
      <c r="DA132" s="18">
        <v>0</v>
      </c>
      <c r="DB132" s="18">
        <v>0</v>
      </c>
      <c r="DC132" s="18">
        <v>0</v>
      </c>
      <c r="DD132" s="18">
        <v>0</v>
      </c>
      <c r="DE132" s="18">
        <v>0</v>
      </c>
      <c r="DF132" s="18">
        <v>0</v>
      </c>
      <c r="DG132" s="18">
        <v>0</v>
      </c>
      <c r="DH132" s="18">
        <v>0</v>
      </c>
      <c r="DI132" s="18">
        <v>0</v>
      </c>
      <c r="DJ132" s="18">
        <v>0</v>
      </c>
      <c r="DK132" s="18">
        <v>0</v>
      </c>
      <c r="DL132" s="18">
        <v>0</v>
      </c>
      <c r="DM132" s="18">
        <v>0</v>
      </c>
      <c r="DN132" s="18">
        <v>0</v>
      </c>
      <c r="DO132" s="18">
        <v>0</v>
      </c>
      <c r="DP132" s="18">
        <v>0</v>
      </c>
      <c r="DQ132" s="18">
        <v>0</v>
      </c>
      <c r="DR132" s="18">
        <v>0</v>
      </c>
      <c r="DS132" s="18">
        <v>0</v>
      </c>
      <c r="DT132" s="18">
        <v>0</v>
      </c>
      <c r="DU132" s="18">
        <v>0</v>
      </c>
      <c r="DV132" s="18">
        <v>0</v>
      </c>
      <c r="DW132" s="19">
        <v>130</v>
      </c>
      <c r="DX132" s="19">
        <v>120</v>
      </c>
      <c r="DY132" s="19">
        <v>110</v>
      </c>
      <c r="DZ132" s="19">
        <v>100</v>
      </c>
      <c r="EA132" s="19">
        <v>120</v>
      </c>
      <c r="EB132" s="17">
        <v>39.1</v>
      </c>
      <c r="EC132" s="17">
        <v>86.9</v>
      </c>
      <c r="ED132" s="17">
        <v>56.5</v>
      </c>
      <c r="EE132" s="17">
        <v>67.599999999999994</v>
      </c>
      <c r="EF132" s="17"/>
      <c r="EG132" s="17"/>
      <c r="EH132" s="17"/>
      <c r="EI132" s="17"/>
      <c r="EJ132" s="19"/>
      <c r="EK132" s="106">
        <v>8.5</v>
      </c>
      <c r="EL132" s="106">
        <v>0.87</v>
      </c>
      <c r="EM132" s="106">
        <v>1.66</v>
      </c>
      <c r="EN132" s="106">
        <v>0.87</v>
      </c>
      <c r="EO132" s="106">
        <v>0.87</v>
      </c>
      <c r="EP132" s="106"/>
      <c r="EQ132" s="106"/>
      <c r="GD132"/>
    </row>
    <row r="133" spans="1:186" s="6" customFormat="1" x14ac:dyDescent="0.2">
      <c r="A133" s="60" t="s">
        <v>895</v>
      </c>
      <c r="B133" s="6" t="s">
        <v>167</v>
      </c>
      <c r="C133" s="6" t="s">
        <v>10</v>
      </c>
      <c r="D133" s="6" t="s">
        <v>255</v>
      </c>
      <c r="F133" s="6">
        <v>300316</v>
      </c>
      <c r="G133" s="6">
        <v>1</v>
      </c>
      <c r="J133" s="6">
        <v>1</v>
      </c>
      <c r="L133" s="6" t="s">
        <v>876</v>
      </c>
      <c r="M133" s="6" t="s">
        <v>876</v>
      </c>
      <c r="N133" s="6" t="s">
        <v>876</v>
      </c>
      <c r="O133" s="6" t="s">
        <v>876</v>
      </c>
      <c r="P133" s="6" t="s">
        <v>876</v>
      </c>
      <c r="T133"/>
      <c r="U133"/>
      <c r="V133"/>
      <c r="W133"/>
      <c r="X133"/>
      <c r="Y133"/>
      <c r="Z133"/>
      <c r="AA133"/>
      <c r="AB133" s="61"/>
      <c r="AC133" s="61"/>
      <c r="AD133" s="62"/>
      <c r="AE133" s="63"/>
      <c r="AF133" s="63"/>
      <c r="AG133" s="6" t="s">
        <v>167</v>
      </c>
      <c r="AI133" s="6">
        <v>300316</v>
      </c>
      <c r="AJ133" s="6" t="s">
        <v>10</v>
      </c>
      <c r="AK133" s="3" t="s">
        <v>188</v>
      </c>
      <c r="AL133" s="3"/>
      <c r="AM133" s="6" t="s">
        <v>189</v>
      </c>
      <c r="AO133" s="9">
        <v>0</v>
      </c>
      <c r="AP133" s="9">
        <v>0</v>
      </c>
      <c r="AQ133" s="9">
        <v>0</v>
      </c>
      <c r="AR133" s="9">
        <v>0</v>
      </c>
      <c r="AS133" s="9">
        <v>0</v>
      </c>
      <c r="AT133" s="9">
        <v>0</v>
      </c>
      <c r="AU133" s="9">
        <v>0</v>
      </c>
      <c r="AV133" s="9">
        <v>0</v>
      </c>
      <c r="AW133" s="9">
        <v>0</v>
      </c>
      <c r="AX133" s="9">
        <v>0</v>
      </c>
      <c r="AY133" s="9">
        <v>0</v>
      </c>
      <c r="AZ133" s="9">
        <v>0</v>
      </c>
      <c r="BA133" s="10">
        <v>0</v>
      </c>
      <c r="BB133" s="10">
        <v>0</v>
      </c>
      <c r="BC133" s="10">
        <v>0</v>
      </c>
      <c r="BD133" s="10">
        <v>0</v>
      </c>
      <c r="BE133" s="10">
        <v>0</v>
      </c>
      <c r="BF133" s="10">
        <v>0</v>
      </c>
      <c r="BG133" s="10">
        <v>0</v>
      </c>
      <c r="BH133" s="10">
        <v>0</v>
      </c>
      <c r="BI133" s="10">
        <v>0</v>
      </c>
      <c r="BJ133" s="10">
        <v>0</v>
      </c>
      <c r="BK133" s="10">
        <v>0</v>
      </c>
      <c r="BL133" s="10">
        <v>0</v>
      </c>
      <c r="BM133" s="10">
        <v>0</v>
      </c>
      <c r="BN133" s="11">
        <v>0</v>
      </c>
      <c r="BO133" s="11">
        <v>0</v>
      </c>
      <c r="BP133" s="11">
        <v>0</v>
      </c>
      <c r="BQ133" s="11">
        <v>0</v>
      </c>
      <c r="BR133" s="11">
        <v>0</v>
      </c>
      <c r="BS133" s="11">
        <v>0</v>
      </c>
      <c r="BT133" s="11">
        <v>0</v>
      </c>
      <c r="BU133" s="11">
        <v>0</v>
      </c>
      <c r="BV133" s="11">
        <v>0</v>
      </c>
      <c r="BW133" s="11">
        <v>0</v>
      </c>
      <c r="BX133" s="11">
        <v>0</v>
      </c>
      <c r="BY133" s="11">
        <v>27.692784000000003</v>
      </c>
      <c r="BZ133" s="11">
        <v>0</v>
      </c>
      <c r="CA133" s="11">
        <v>0</v>
      </c>
      <c r="CB133" s="11">
        <v>0</v>
      </c>
      <c r="CC133" s="11">
        <v>0</v>
      </c>
      <c r="CD133" s="11">
        <v>0</v>
      </c>
      <c r="CE133" s="11">
        <v>0</v>
      </c>
      <c r="CF133" s="11">
        <v>0</v>
      </c>
      <c r="CG133" s="11">
        <v>0</v>
      </c>
      <c r="CH133" s="11">
        <v>0</v>
      </c>
      <c r="CI133" s="11">
        <v>0</v>
      </c>
      <c r="CJ133" s="11">
        <v>0</v>
      </c>
      <c r="CK133" s="11">
        <v>0</v>
      </c>
      <c r="CL133" s="11">
        <v>0</v>
      </c>
      <c r="CM133" s="11">
        <v>0</v>
      </c>
      <c r="CN133" s="11">
        <v>0</v>
      </c>
      <c r="CO133" s="11">
        <v>0</v>
      </c>
      <c r="CP133" s="11">
        <v>0</v>
      </c>
      <c r="CQ133" s="11">
        <v>0</v>
      </c>
      <c r="CR133" s="11">
        <v>0</v>
      </c>
      <c r="CS133" s="11">
        <v>0</v>
      </c>
      <c r="CT133" s="18">
        <v>0</v>
      </c>
      <c r="CU133" s="18">
        <v>0</v>
      </c>
      <c r="CV133" s="18">
        <v>25.906067999999998</v>
      </c>
      <c r="CW133" s="18">
        <v>0</v>
      </c>
      <c r="CX133" s="18">
        <v>0</v>
      </c>
      <c r="CY133" s="18">
        <v>0</v>
      </c>
      <c r="CZ133" s="18">
        <v>0</v>
      </c>
      <c r="DA133" s="18">
        <v>0</v>
      </c>
      <c r="DB133" s="18">
        <v>0</v>
      </c>
      <c r="DC133" s="18">
        <v>0</v>
      </c>
      <c r="DD133" s="18">
        <v>0</v>
      </c>
      <c r="DE133" s="18">
        <v>0</v>
      </c>
      <c r="DF133" s="18">
        <v>0</v>
      </c>
      <c r="DG133" s="18">
        <v>0</v>
      </c>
      <c r="DH133" s="18">
        <v>0</v>
      </c>
      <c r="DI133" s="18">
        <v>0</v>
      </c>
      <c r="DJ133" s="18">
        <v>0</v>
      </c>
      <c r="DK133" s="18">
        <v>0</v>
      </c>
      <c r="DL133" s="18">
        <v>0</v>
      </c>
      <c r="DM133" s="18">
        <v>0</v>
      </c>
      <c r="DN133" s="18">
        <v>0</v>
      </c>
      <c r="DO133" s="18">
        <v>0</v>
      </c>
      <c r="DP133" s="18">
        <v>0</v>
      </c>
      <c r="DQ133" s="18">
        <v>0</v>
      </c>
      <c r="DR133" s="18">
        <v>0</v>
      </c>
      <c r="DS133" s="18">
        <v>0</v>
      </c>
      <c r="DT133" s="18">
        <v>0</v>
      </c>
      <c r="DU133" s="18">
        <v>0</v>
      </c>
      <c r="DV133" s="18">
        <v>0</v>
      </c>
      <c r="DW133" s="19">
        <v>0</v>
      </c>
      <c r="DX133" s="19">
        <v>0</v>
      </c>
      <c r="DY133" s="19">
        <v>0</v>
      </c>
      <c r="DZ133" s="19">
        <v>0</v>
      </c>
      <c r="EA133" s="19">
        <v>0</v>
      </c>
      <c r="EB133" s="17">
        <v>0</v>
      </c>
      <c r="EC133" s="17">
        <v>0</v>
      </c>
      <c r="ED133" s="17">
        <v>0</v>
      </c>
      <c r="EE133" s="17">
        <v>0</v>
      </c>
      <c r="EF133" s="17"/>
      <c r="EG133" s="17"/>
      <c r="EH133" s="17"/>
      <c r="EI133" s="17"/>
      <c r="EJ133" s="19"/>
      <c r="EK133" s="106">
        <v>0.85</v>
      </c>
      <c r="EL133" s="106">
        <v>0.85</v>
      </c>
      <c r="EM133" s="106">
        <v>0.85</v>
      </c>
      <c r="EN133" s="106">
        <v>0.85</v>
      </c>
      <c r="EO133" s="106">
        <v>0.85</v>
      </c>
      <c r="EP133" s="106"/>
      <c r="EQ133" s="106"/>
      <c r="FB133" s="6">
        <v>0</v>
      </c>
      <c r="FC133" s="6">
        <v>0</v>
      </c>
      <c r="FD133" s="6">
        <v>0</v>
      </c>
      <c r="FE133" s="6">
        <v>0</v>
      </c>
      <c r="FF133" s="6">
        <v>0</v>
      </c>
      <c r="FG133" s="6">
        <v>0</v>
      </c>
      <c r="FH133" s="6">
        <v>0</v>
      </c>
      <c r="FI133" s="6">
        <v>1.987936507936508E-2</v>
      </c>
      <c r="FJ133" s="66">
        <v>0</v>
      </c>
      <c r="FK133" s="66">
        <v>0</v>
      </c>
      <c r="FL133" s="66">
        <v>0</v>
      </c>
      <c r="FM133" s="66">
        <v>0</v>
      </c>
      <c r="FN133" s="66">
        <v>0</v>
      </c>
      <c r="FO133" s="66">
        <v>0</v>
      </c>
      <c r="FP133" s="6">
        <v>0</v>
      </c>
      <c r="FQ133" s="6">
        <v>8.3866666666666673E-3</v>
      </c>
      <c r="FR133" s="66">
        <v>0</v>
      </c>
      <c r="FS133" s="6">
        <v>0.40361975308641967</v>
      </c>
      <c r="FT133" s="6">
        <v>0</v>
      </c>
      <c r="FU133" s="6">
        <v>5.8399999999999997E-3</v>
      </c>
      <c r="FV133" s="6">
        <v>0</v>
      </c>
      <c r="FW133" s="6">
        <v>6.0332222222222218E-2</v>
      </c>
      <c r="FX133" s="6">
        <v>0</v>
      </c>
      <c r="FY133" s="6">
        <v>7.3333333333333331E-5</v>
      </c>
      <c r="FZ133" s="66">
        <v>0</v>
      </c>
      <c r="GA133" s="6">
        <v>0</v>
      </c>
      <c r="GB133" s="6">
        <v>0</v>
      </c>
      <c r="GC133" s="6">
        <v>0</v>
      </c>
      <c r="GD133"/>
    </row>
    <row r="134" spans="1:186" s="6" customFormat="1" x14ac:dyDescent="0.2">
      <c r="A134" s="60" t="s">
        <v>853</v>
      </c>
      <c r="B134" s="6" t="s">
        <v>854</v>
      </c>
      <c r="C134" s="6" t="s">
        <v>308</v>
      </c>
      <c r="D134" s="6" t="s">
        <v>255</v>
      </c>
      <c r="F134" s="6">
        <v>301734</v>
      </c>
      <c r="H134" s="6">
        <v>1</v>
      </c>
      <c r="I134" s="6">
        <v>1</v>
      </c>
      <c r="J134" s="6">
        <v>1</v>
      </c>
      <c r="L134" s="6" t="s">
        <v>307</v>
      </c>
      <c r="M134" s="6" t="s">
        <v>855</v>
      </c>
      <c r="N134" s="6" t="s">
        <v>201</v>
      </c>
      <c r="O134" s="6" t="s">
        <v>671</v>
      </c>
      <c r="P134" s="6" t="s">
        <v>672</v>
      </c>
      <c r="T134">
        <v>10000</v>
      </c>
      <c r="U134">
        <v>9.9999999999999995E-7</v>
      </c>
      <c r="V134">
        <v>10000</v>
      </c>
      <c r="W134">
        <v>10000</v>
      </c>
      <c r="X134">
        <v>6.2395838198282962E-2</v>
      </c>
      <c r="Y134">
        <v>0.13727083762004771</v>
      </c>
      <c r="Z134"/>
      <c r="AA134"/>
      <c r="AB134" s="61"/>
      <c r="AC134" s="61"/>
      <c r="AD134" s="62"/>
      <c r="AE134" s="63"/>
      <c r="AF134" s="63"/>
      <c r="AG134" s="6" t="s">
        <v>306</v>
      </c>
      <c r="AH134" s="6" t="s">
        <v>307</v>
      </c>
      <c r="AI134" s="2"/>
      <c r="AJ134" s="3" t="s">
        <v>308</v>
      </c>
      <c r="AK134" s="3" t="s">
        <v>201</v>
      </c>
      <c r="AL134" s="6">
        <v>420</v>
      </c>
      <c r="AM134" s="6" t="s">
        <v>193</v>
      </c>
      <c r="EK134"/>
      <c r="EL134"/>
      <c r="EM134"/>
      <c r="EN134"/>
      <c r="EO134"/>
      <c r="EP134"/>
      <c r="EQ134"/>
      <c r="FB134" s="6">
        <v>0</v>
      </c>
      <c r="FC134" s="6">
        <v>0</v>
      </c>
      <c r="FD134" s="6">
        <v>0</v>
      </c>
      <c r="FE134" s="6">
        <v>0</v>
      </c>
      <c r="FF134" s="6">
        <v>0</v>
      </c>
      <c r="FG134" s="6">
        <v>0</v>
      </c>
      <c r="FH134" s="6">
        <v>0</v>
      </c>
      <c r="FI134" s="6">
        <v>0</v>
      </c>
      <c r="FJ134" s="66">
        <v>0</v>
      </c>
      <c r="FK134" s="66">
        <v>0</v>
      </c>
      <c r="FL134" s="66">
        <v>0</v>
      </c>
      <c r="FM134" s="66">
        <v>0</v>
      </c>
      <c r="FN134" s="66">
        <v>0</v>
      </c>
      <c r="FO134" s="66">
        <v>0</v>
      </c>
      <c r="FP134" s="6">
        <v>0</v>
      </c>
      <c r="FQ134" s="6">
        <v>0</v>
      </c>
      <c r="FR134" s="66">
        <v>0</v>
      </c>
      <c r="FS134" s="6">
        <v>0</v>
      </c>
      <c r="FT134" s="6">
        <v>0</v>
      </c>
      <c r="FU134" s="6">
        <v>0</v>
      </c>
      <c r="FV134" s="6">
        <v>0</v>
      </c>
      <c r="FW134" s="6">
        <v>0</v>
      </c>
      <c r="FX134" s="6">
        <v>0</v>
      </c>
      <c r="FY134" s="6">
        <v>0</v>
      </c>
      <c r="FZ134" s="66">
        <v>0</v>
      </c>
      <c r="GA134" s="6">
        <v>0</v>
      </c>
      <c r="GB134" s="6">
        <v>1.0813333333333333E-2</v>
      </c>
      <c r="GC134" s="6">
        <v>0</v>
      </c>
      <c r="GD134"/>
    </row>
    <row r="135" spans="1:186" s="6" customFormat="1" x14ac:dyDescent="0.2">
      <c r="A135" s="60" t="s">
        <v>1052</v>
      </c>
      <c r="B135" s="6" t="s">
        <v>1053</v>
      </c>
      <c r="C135" s="6" t="s">
        <v>550</v>
      </c>
      <c r="D135" s="6" t="s">
        <v>876</v>
      </c>
      <c r="H135" s="6">
        <v>1</v>
      </c>
      <c r="L135" s="6" t="s">
        <v>876</v>
      </c>
      <c r="M135" s="6" t="s">
        <v>876</v>
      </c>
      <c r="N135" s="6" t="s">
        <v>201</v>
      </c>
      <c r="O135" s="6" t="s">
        <v>876</v>
      </c>
      <c r="P135" s="6" t="s">
        <v>876</v>
      </c>
      <c r="T135"/>
      <c r="U135"/>
      <c r="V135"/>
      <c r="W135"/>
      <c r="X135"/>
      <c r="Y135"/>
      <c r="Z135"/>
      <c r="AA135"/>
      <c r="AB135" s="61"/>
      <c r="AC135" s="61"/>
      <c r="AD135" s="62"/>
      <c r="AE135" s="63"/>
      <c r="AF135" s="63"/>
      <c r="AG135" s="8" t="s">
        <v>549</v>
      </c>
      <c r="AI135" s="2"/>
      <c r="AJ135" s="6" t="s">
        <v>550</v>
      </c>
      <c r="AK135" s="3" t="s">
        <v>201</v>
      </c>
      <c r="AM135" s="6" t="s">
        <v>193</v>
      </c>
      <c r="EK135"/>
      <c r="EL135"/>
      <c r="EM135"/>
      <c r="EN135"/>
      <c r="EO135"/>
      <c r="EP135"/>
      <c r="EQ135"/>
      <c r="FB135" s="6">
        <v>0</v>
      </c>
      <c r="FC135" s="6">
        <v>0</v>
      </c>
      <c r="FD135" s="6">
        <v>0</v>
      </c>
      <c r="FE135" s="6">
        <v>0</v>
      </c>
      <c r="FF135" s="6">
        <v>0</v>
      </c>
      <c r="FG135" s="6">
        <v>0</v>
      </c>
      <c r="FH135" s="6">
        <v>0</v>
      </c>
      <c r="FI135" s="6">
        <v>0</v>
      </c>
      <c r="FJ135" s="66">
        <v>0</v>
      </c>
      <c r="FK135" s="66">
        <v>0</v>
      </c>
      <c r="FL135" s="66">
        <v>0</v>
      </c>
      <c r="FM135" s="66">
        <v>0</v>
      </c>
      <c r="FN135" s="66">
        <v>0</v>
      </c>
      <c r="FO135" s="66">
        <v>0</v>
      </c>
      <c r="FP135" s="6">
        <v>0</v>
      </c>
      <c r="FQ135" s="6">
        <v>0</v>
      </c>
      <c r="FR135" s="66">
        <v>0</v>
      </c>
      <c r="FS135" s="6">
        <v>0</v>
      </c>
      <c r="FT135" s="6">
        <v>0</v>
      </c>
      <c r="FU135" s="6">
        <v>0</v>
      </c>
      <c r="FV135" s="6">
        <v>0</v>
      </c>
      <c r="FW135" s="6">
        <v>0</v>
      </c>
      <c r="FX135" s="6">
        <v>0</v>
      </c>
      <c r="FY135" s="6">
        <v>0</v>
      </c>
      <c r="FZ135" s="66">
        <v>0</v>
      </c>
      <c r="GA135" s="6">
        <v>0</v>
      </c>
      <c r="GB135" s="6">
        <v>0</v>
      </c>
      <c r="GC135" s="6">
        <v>0</v>
      </c>
      <c r="GD135"/>
    </row>
    <row r="136" spans="1:186" s="6" customFormat="1" x14ac:dyDescent="0.2">
      <c r="A136" s="60" t="s">
        <v>1054</v>
      </c>
      <c r="B136" s="6" t="s">
        <v>1055</v>
      </c>
      <c r="C136" s="6" t="s">
        <v>554</v>
      </c>
      <c r="D136" s="6" t="s">
        <v>876</v>
      </c>
      <c r="H136" s="6">
        <v>1</v>
      </c>
      <c r="L136" s="6" t="s">
        <v>876</v>
      </c>
      <c r="M136" s="6" t="s">
        <v>876</v>
      </c>
      <c r="N136" s="6" t="s">
        <v>201</v>
      </c>
      <c r="O136" s="6" t="s">
        <v>876</v>
      </c>
      <c r="P136" s="6" t="s">
        <v>876</v>
      </c>
      <c r="T136"/>
      <c r="U136"/>
      <c r="V136"/>
      <c r="W136"/>
      <c r="X136"/>
      <c r="Y136"/>
      <c r="Z136"/>
      <c r="AA136"/>
      <c r="AB136" s="61"/>
      <c r="AC136" s="61"/>
      <c r="AD136" s="62"/>
      <c r="AE136" s="63"/>
      <c r="AF136" s="63"/>
      <c r="AG136" s="8" t="s">
        <v>553</v>
      </c>
      <c r="AI136" s="2"/>
      <c r="AJ136" s="6" t="s">
        <v>554</v>
      </c>
      <c r="AK136" s="3" t="s">
        <v>201</v>
      </c>
      <c r="AM136" s="6" t="s">
        <v>193</v>
      </c>
      <c r="EK136"/>
      <c r="EL136"/>
      <c r="EM136"/>
      <c r="EN136"/>
      <c r="EO136"/>
      <c r="EP136"/>
      <c r="EQ136"/>
      <c r="FB136" s="6">
        <v>0</v>
      </c>
      <c r="FC136" s="6">
        <v>0</v>
      </c>
      <c r="FD136" s="6">
        <v>0</v>
      </c>
      <c r="FE136" s="6">
        <v>0</v>
      </c>
      <c r="FF136" s="6">
        <v>0</v>
      </c>
      <c r="FG136" s="6">
        <v>0</v>
      </c>
      <c r="FH136" s="6">
        <v>0</v>
      </c>
      <c r="FI136" s="6">
        <v>0</v>
      </c>
      <c r="FJ136" s="66">
        <v>0</v>
      </c>
      <c r="FK136" s="66">
        <v>0</v>
      </c>
      <c r="FL136" s="66">
        <v>0</v>
      </c>
      <c r="FM136" s="66">
        <v>0</v>
      </c>
      <c r="FN136" s="66">
        <v>0</v>
      </c>
      <c r="FO136" s="66">
        <v>0</v>
      </c>
      <c r="FP136" s="6">
        <v>0</v>
      </c>
      <c r="FQ136" s="6">
        <v>0</v>
      </c>
      <c r="FR136" s="66">
        <v>0</v>
      </c>
      <c r="FS136" s="6">
        <v>0</v>
      </c>
      <c r="FT136" s="6">
        <v>0</v>
      </c>
      <c r="FU136" s="6">
        <v>0</v>
      </c>
      <c r="FV136" s="6">
        <v>0</v>
      </c>
      <c r="FW136" s="6">
        <v>0</v>
      </c>
      <c r="FX136" s="6">
        <v>0</v>
      </c>
      <c r="FY136" s="6">
        <v>0</v>
      </c>
      <c r="FZ136" s="66">
        <v>0</v>
      </c>
      <c r="GA136" s="6">
        <v>0</v>
      </c>
      <c r="GB136" s="6">
        <v>0</v>
      </c>
      <c r="GC136" s="6">
        <v>0</v>
      </c>
      <c r="GD136"/>
    </row>
    <row r="137" spans="1:186" s="6" customFormat="1" x14ac:dyDescent="0.2">
      <c r="A137" s="60" t="s">
        <v>809</v>
      </c>
      <c r="B137" s="6" t="s">
        <v>594</v>
      </c>
      <c r="C137" s="6" t="s">
        <v>53</v>
      </c>
      <c r="D137" s="6" t="s">
        <v>799</v>
      </c>
      <c r="F137" s="6">
        <v>300299</v>
      </c>
      <c r="H137" s="6">
        <v>1</v>
      </c>
      <c r="I137" s="6">
        <v>1</v>
      </c>
      <c r="J137" s="6">
        <v>1</v>
      </c>
      <c r="L137" s="6" t="s">
        <v>439</v>
      </c>
      <c r="M137" s="6" t="s">
        <v>810</v>
      </c>
      <c r="N137" s="6" t="s">
        <v>192</v>
      </c>
      <c r="O137" s="6" t="s">
        <v>671</v>
      </c>
      <c r="P137" s="6" t="s">
        <v>672</v>
      </c>
      <c r="T137">
        <v>10000</v>
      </c>
      <c r="U137">
        <v>2.3691778063864919</v>
      </c>
      <c r="V137">
        <v>10000</v>
      </c>
      <c r="W137">
        <v>4.9987687971400625</v>
      </c>
      <c r="X137">
        <v>0.11991366170301945</v>
      </c>
      <c r="Y137">
        <v>0.51325259901967668</v>
      </c>
      <c r="Z137" s="64">
        <v>25</v>
      </c>
      <c r="AA137" s="64"/>
      <c r="AB137" s="61"/>
      <c r="AC137" s="61"/>
      <c r="AD137" s="62"/>
      <c r="AE137" s="63"/>
      <c r="AF137" s="63"/>
      <c r="AG137" s="6" t="s">
        <v>445</v>
      </c>
      <c r="AH137" s="6" t="s">
        <v>446</v>
      </c>
      <c r="AI137" s="4">
        <v>300299</v>
      </c>
      <c r="AJ137" s="3" t="s">
        <v>53</v>
      </c>
      <c r="AK137" s="3" t="s">
        <v>192</v>
      </c>
      <c r="AL137" s="6">
        <v>1166</v>
      </c>
      <c r="AM137" s="6" t="s">
        <v>193</v>
      </c>
      <c r="CT137" s="15">
        <v>37</v>
      </c>
      <c r="CU137" s="15">
        <v>39</v>
      </c>
      <c r="CV137" s="15">
        <v>39</v>
      </c>
      <c r="CW137" s="15">
        <v>0</v>
      </c>
      <c r="CX137" s="15">
        <v>39</v>
      </c>
      <c r="CY137" s="15">
        <v>40</v>
      </c>
      <c r="CZ137" s="15">
        <v>36</v>
      </c>
      <c r="DA137" s="15">
        <v>0</v>
      </c>
      <c r="DB137" s="15">
        <v>0</v>
      </c>
      <c r="DC137" s="15">
        <v>49</v>
      </c>
      <c r="DD137" s="15">
        <v>0</v>
      </c>
      <c r="DE137" s="15">
        <v>0</v>
      </c>
      <c r="DF137" s="15">
        <v>49</v>
      </c>
      <c r="DG137" s="15">
        <v>56</v>
      </c>
      <c r="DH137" s="15">
        <v>42</v>
      </c>
      <c r="DI137" s="15">
        <v>0</v>
      </c>
      <c r="DJ137" s="15">
        <v>39</v>
      </c>
      <c r="DK137" s="15">
        <v>0</v>
      </c>
      <c r="DL137" s="15">
        <v>40</v>
      </c>
      <c r="DM137" s="15">
        <v>0</v>
      </c>
      <c r="DN137" s="16">
        <v>0</v>
      </c>
      <c r="DO137" s="16">
        <v>43</v>
      </c>
      <c r="DP137" s="16">
        <v>41</v>
      </c>
      <c r="DQ137" s="16">
        <v>0</v>
      </c>
      <c r="DS137" s="16">
        <v>0</v>
      </c>
      <c r="DT137" s="16">
        <v>0</v>
      </c>
      <c r="DU137" s="16">
        <v>0</v>
      </c>
      <c r="DV137" s="16">
        <v>39</v>
      </c>
      <c r="DW137" s="15"/>
      <c r="DX137" s="15"/>
      <c r="DY137" s="15"/>
      <c r="DZ137" s="15"/>
      <c r="EA137" s="15"/>
      <c r="EB137" s="15"/>
      <c r="EC137" s="15"/>
      <c r="ED137" s="15"/>
      <c r="EE137" s="15"/>
      <c r="EF137" s="15"/>
      <c r="EG137" s="15"/>
      <c r="EH137" s="15"/>
      <c r="EI137" s="15"/>
      <c r="EJ137" s="15"/>
      <c r="EK137"/>
      <c r="EL137"/>
      <c r="EM137"/>
      <c r="EN137"/>
      <c r="EO137"/>
      <c r="EP137"/>
      <c r="EQ137"/>
      <c r="ER137" s="65">
        <v>3310.5699999999997</v>
      </c>
      <c r="ES137" s="6">
        <v>2170.7000000000003</v>
      </c>
      <c r="ET137" s="6">
        <v>200.49666666666667</v>
      </c>
      <c r="EU137" s="6">
        <v>650.37666666666667</v>
      </c>
      <c r="EV137" s="6">
        <v>1180.9766666666667</v>
      </c>
      <c r="FB137" s="6">
        <v>0</v>
      </c>
      <c r="FC137" s="6">
        <v>0</v>
      </c>
      <c r="FD137" s="6">
        <v>0</v>
      </c>
      <c r="FE137" s="6">
        <v>0</v>
      </c>
      <c r="FF137" s="6">
        <v>0</v>
      </c>
      <c r="FG137" s="6">
        <v>0</v>
      </c>
      <c r="FH137" s="6">
        <v>0</v>
      </c>
      <c r="FI137" s="6">
        <v>3.6331746031746034E-2</v>
      </c>
      <c r="FJ137" s="66">
        <v>0</v>
      </c>
      <c r="FK137" s="66">
        <v>4.042064988267112E-3</v>
      </c>
      <c r="FL137" s="66">
        <v>2.1494302275196406E-3</v>
      </c>
      <c r="FM137" s="66">
        <v>4.8621379310344819E-2</v>
      </c>
      <c r="FN137" s="66">
        <v>0</v>
      </c>
      <c r="FO137" s="66">
        <v>0</v>
      </c>
      <c r="FP137" s="6">
        <v>0</v>
      </c>
      <c r="FQ137" s="6">
        <v>2.01E-2</v>
      </c>
      <c r="FR137" s="66">
        <v>0</v>
      </c>
      <c r="FS137" s="6">
        <v>0</v>
      </c>
      <c r="FT137" s="6">
        <v>0</v>
      </c>
      <c r="FU137" s="6">
        <v>0</v>
      </c>
      <c r="FV137" s="6">
        <v>0</v>
      </c>
      <c r="FW137" s="6">
        <v>0</v>
      </c>
      <c r="FX137" s="6">
        <v>0</v>
      </c>
      <c r="FY137" s="6">
        <v>2.5333333333333332E-3</v>
      </c>
      <c r="FZ137" s="66">
        <v>0</v>
      </c>
      <c r="GA137" s="6">
        <v>0</v>
      </c>
      <c r="GB137" s="6">
        <v>0</v>
      </c>
      <c r="GC137" s="6">
        <v>0</v>
      </c>
      <c r="GD137"/>
    </row>
    <row r="138" spans="1:186" s="6" customFormat="1" x14ac:dyDescent="0.2">
      <c r="A138" s="60" t="s">
        <v>816</v>
      </c>
      <c r="B138" s="6" t="s">
        <v>428</v>
      </c>
      <c r="C138" s="6" t="s">
        <v>62</v>
      </c>
      <c r="D138" s="6" t="s">
        <v>805</v>
      </c>
      <c r="E138" s="6" t="s">
        <v>546</v>
      </c>
      <c r="F138" s="6">
        <v>300303</v>
      </c>
      <c r="H138" s="6">
        <v>1</v>
      </c>
      <c r="I138" s="6">
        <v>1</v>
      </c>
      <c r="J138" s="6">
        <v>1</v>
      </c>
      <c r="L138" s="6" t="s">
        <v>425</v>
      </c>
      <c r="M138" s="6" t="s">
        <v>817</v>
      </c>
      <c r="N138" s="6" t="s">
        <v>192</v>
      </c>
      <c r="O138" s="6" t="s">
        <v>671</v>
      </c>
      <c r="P138" s="6" t="s">
        <v>672</v>
      </c>
      <c r="T138">
        <v>16.323696018054527</v>
      </c>
      <c r="U138">
        <v>14.578402264545142</v>
      </c>
      <c r="V138">
        <v>22.649300406472076</v>
      </c>
      <c r="W138">
        <v>16.52437898394825</v>
      </c>
      <c r="X138">
        <v>0.58247160908689277</v>
      </c>
      <c r="Y138">
        <v>0.58815905618500619</v>
      </c>
      <c r="Z138" s="84">
        <v>69</v>
      </c>
      <c r="AA138" s="84"/>
      <c r="AB138" s="61"/>
      <c r="AC138" s="61"/>
      <c r="AD138" s="62"/>
      <c r="AE138" s="63"/>
      <c r="AF138" s="63"/>
      <c r="AG138" s="6" t="s">
        <v>428</v>
      </c>
      <c r="AH138" s="6" t="s">
        <v>429</v>
      </c>
      <c r="AI138" s="4">
        <v>300303</v>
      </c>
      <c r="AJ138" s="3" t="s">
        <v>62</v>
      </c>
      <c r="AK138" s="3" t="s">
        <v>192</v>
      </c>
      <c r="AL138" s="6">
        <v>948</v>
      </c>
      <c r="AM138" s="6" t="s">
        <v>193</v>
      </c>
      <c r="CT138" s="15">
        <v>0</v>
      </c>
      <c r="CU138" s="15">
        <v>0</v>
      </c>
      <c r="CV138" s="15">
        <v>0</v>
      </c>
      <c r="CW138" s="15">
        <v>0</v>
      </c>
      <c r="CX138" s="15" t="s">
        <v>63</v>
      </c>
      <c r="CY138" s="15" t="s">
        <v>64</v>
      </c>
      <c r="CZ138" s="15">
        <v>0</v>
      </c>
      <c r="DA138" s="15">
        <v>290</v>
      </c>
      <c r="DB138" s="15">
        <v>0</v>
      </c>
      <c r="DC138" s="15" t="s">
        <v>65</v>
      </c>
      <c r="DD138" s="15">
        <v>0</v>
      </c>
      <c r="DE138" s="15">
        <v>0</v>
      </c>
      <c r="DF138" s="15">
        <v>59</v>
      </c>
      <c r="DG138" s="15">
        <v>0</v>
      </c>
      <c r="DH138" s="15">
        <v>0</v>
      </c>
      <c r="DI138" s="15">
        <v>150</v>
      </c>
      <c r="DJ138" s="15">
        <v>0</v>
      </c>
      <c r="DK138" s="15">
        <v>0</v>
      </c>
      <c r="DL138" s="15">
        <v>0</v>
      </c>
      <c r="DM138" s="15">
        <v>0</v>
      </c>
      <c r="DN138" s="16">
        <v>0</v>
      </c>
      <c r="DO138" s="16">
        <v>0</v>
      </c>
      <c r="DP138" s="16">
        <v>0</v>
      </c>
      <c r="DQ138" s="16">
        <v>0</v>
      </c>
      <c r="DS138" s="16">
        <v>0</v>
      </c>
      <c r="DT138" s="16" t="s">
        <v>66</v>
      </c>
      <c r="DU138" s="16">
        <v>310</v>
      </c>
      <c r="DV138" s="16">
        <v>0</v>
      </c>
      <c r="DW138" s="15"/>
      <c r="DX138" s="15"/>
      <c r="DY138" s="15"/>
      <c r="DZ138" s="15"/>
      <c r="EA138" s="15"/>
      <c r="EB138" s="15"/>
      <c r="EC138" s="15"/>
      <c r="ED138" s="15"/>
      <c r="EE138" s="15"/>
      <c r="EF138" s="15"/>
      <c r="EG138" s="15"/>
      <c r="EH138" s="15"/>
      <c r="EI138" s="15"/>
      <c r="EJ138" s="15"/>
      <c r="EK138"/>
      <c r="EL138"/>
      <c r="EM138"/>
      <c r="EN138"/>
      <c r="EO138"/>
      <c r="EP138"/>
      <c r="EQ138"/>
      <c r="ER138" s="76">
        <v>4305.6399999999994</v>
      </c>
      <c r="ES138">
        <v>5407.37</v>
      </c>
      <c r="ET138">
        <v>3257.5533333333333</v>
      </c>
      <c r="EU138">
        <v>1717.18</v>
      </c>
      <c r="EV138">
        <v>3090.7366666666671</v>
      </c>
      <c r="FB138" s="78"/>
      <c r="GD138"/>
    </row>
    <row r="139" spans="1:186" s="6" customFormat="1" x14ac:dyDescent="0.2">
      <c r="A139" s="60" t="s">
        <v>1019</v>
      </c>
      <c r="B139" s="6" t="s">
        <v>139</v>
      </c>
      <c r="C139" s="6" t="s">
        <v>1</v>
      </c>
      <c r="D139" s="6" t="s">
        <v>255</v>
      </c>
      <c r="F139" s="6">
        <v>70</v>
      </c>
      <c r="G139" s="6">
        <v>1</v>
      </c>
      <c r="H139" s="6">
        <v>1</v>
      </c>
      <c r="J139" s="6">
        <v>1</v>
      </c>
      <c r="L139" s="6" t="s">
        <v>876</v>
      </c>
      <c r="M139" s="6" t="s">
        <v>876</v>
      </c>
      <c r="N139" s="6" t="s">
        <v>188</v>
      </c>
      <c r="O139" s="6" t="s">
        <v>876</v>
      </c>
      <c r="P139" s="6" t="s">
        <v>876</v>
      </c>
      <c r="T139"/>
      <c r="U139"/>
      <c r="V139"/>
      <c r="W139"/>
      <c r="X139"/>
      <c r="Y139"/>
      <c r="Z139"/>
      <c r="AA139"/>
      <c r="AB139" s="52">
        <v>7.0199999999999999E-5</v>
      </c>
      <c r="AC139" s="53">
        <v>3.2299999999999998E-3</v>
      </c>
      <c r="AD139" s="54">
        <v>0.84499999999999997</v>
      </c>
      <c r="AE139" s="54">
        <v>11.7</v>
      </c>
      <c r="AF139" s="54">
        <v>3.14</v>
      </c>
      <c r="AG139" s="6" t="s">
        <v>139</v>
      </c>
      <c r="AI139" s="6">
        <v>70</v>
      </c>
      <c r="AJ139" s="6" t="s">
        <v>1</v>
      </c>
      <c r="AK139" s="3" t="s">
        <v>188</v>
      </c>
      <c r="AL139" s="3"/>
      <c r="AM139" s="6" t="s">
        <v>246</v>
      </c>
      <c r="AO139" s="9">
        <v>105.38</v>
      </c>
      <c r="AP139" s="9">
        <v>67.349999999999994</v>
      </c>
      <c r="AQ139" s="9">
        <v>436.41</v>
      </c>
      <c r="AR139" s="9">
        <v>554.55999999999995</v>
      </c>
      <c r="AS139" s="9">
        <v>1190.22</v>
      </c>
      <c r="AT139" s="9">
        <v>314.5</v>
      </c>
      <c r="AU139" s="9">
        <v>90.61</v>
      </c>
      <c r="AV139" s="9">
        <v>817.51</v>
      </c>
      <c r="AW139" s="9">
        <v>655.25</v>
      </c>
      <c r="AX139" s="9">
        <v>739.65</v>
      </c>
      <c r="AY139" s="9">
        <v>739.65</v>
      </c>
      <c r="AZ139" s="9">
        <v>0</v>
      </c>
      <c r="BA139" s="10">
        <v>123.77653359999999</v>
      </c>
      <c r="BB139" s="10">
        <v>84.4334104</v>
      </c>
      <c r="BC139" s="10">
        <v>290.88884639999998</v>
      </c>
      <c r="BD139" s="10">
        <v>295.813108</v>
      </c>
      <c r="BE139" s="10">
        <v>492.51652999999999</v>
      </c>
      <c r="BF139" s="10">
        <v>171.17685599999999</v>
      </c>
      <c r="BG139" s="10">
        <v>0</v>
      </c>
      <c r="BH139" s="10">
        <v>355.21548539999998</v>
      </c>
      <c r="BI139" s="10">
        <v>322.83828359999995</v>
      </c>
      <c r="BJ139" s="10">
        <v>335.84831439999999</v>
      </c>
      <c r="BK139" s="10">
        <v>346.12143679999997</v>
      </c>
      <c r="BL139" s="10">
        <v>306.030168</v>
      </c>
      <c r="BM139" s="10">
        <v>0</v>
      </c>
      <c r="BN139" s="11">
        <v>58.357837600000003</v>
      </c>
      <c r="BO139" s="11">
        <v>46.430249600000003</v>
      </c>
      <c r="BP139" s="11">
        <v>267.80975999999998</v>
      </c>
      <c r="BQ139" s="11">
        <v>363.37817120000005</v>
      </c>
      <c r="BR139" s="11">
        <v>812.80188720000001</v>
      </c>
      <c r="BS139" s="11">
        <v>202.7089368</v>
      </c>
      <c r="BT139" s="11">
        <v>445.43413799999996</v>
      </c>
      <c r="BU139" s="11">
        <v>347.0744656</v>
      </c>
      <c r="BV139" s="11">
        <v>49.708057399999994</v>
      </c>
      <c r="BW139" s="11">
        <v>86.976741999999987</v>
      </c>
      <c r="BX139" s="11">
        <v>148.05070559999999</v>
      </c>
      <c r="BY139" s="11">
        <v>303.802187</v>
      </c>
      <c r="BZ139" s="11">
        <v>492.74029839999992</v>
      </c>
      <c r="CA139" s="11">
        <v>147.93194699999998</v>
      </c>
      <c r="CB139" s="11">
        <v>476.33826600000003</v>
      </c>
      <c r="CC139" s="11">
        <v>329.76597600000002</v>
      </c>
      <c r="CD139" s="11">
        <v>0</v>
      </c>
      <c r="CE139" s="11">
        <v>146.8067246</v>
      </c>
      <c r="CF139" s="11">
        <v>32.007800600000003</v>
      </c>
      <c r="CG139" s="11">
        <v>193.90787640000002</v>
      </c>
      <c r="CH139" s="11">
        <v>233.42087440000003</v>
      </c>
      <c r="CI139" s="11">
        <v>633.18198299999995</v>
      </c>
      <c r="CJ139" s="11">
        <v>77.7735792</v>
      </c>
      <c r="CK139" s="11">
        <v>209.2018712</v>
      </c>
      <c r="CL139" s="11">
        <v>82.800413000000006</v>
      </c>
      <c r="CM139" s="11">
        <v>57.278373600000002</v>
      </c>
      <c r="CN139" s="11">
        <v>156.70566400000001</v>
      </c>
      <c r="CO139" s="11">
        <v>171.61056879999998</v>
      </c>
      <c r="CP139" s="11">
        <v>0</v>
      </c>
      <c r="CQ139" s="11">
        <v>279.99228600000004</v>
      </c>
      <c r="CR139" s="11">
        <v>0</v>
      </c>
      <c r="CS139" s="11">
        <v>0</v>
      </c>
      <c r="CT139" s="18">
        <v>16.460047599999999</v>
      </c>
      <c r="CU139" s="18">
        <v>36.381911999999993</v>
      </c>
      <c r="CV139" s="18">
        <v>145.00862999999998</v>
      </c>
      <c r="CW139" s="18">
        <v>33.655028800000004</v>
      </c>
      <c r="CX139" s="18">
        <v>90.218674799999988</v>
      </c>
      <c r="CY139" s="18">
        <v>36.933904800000008</v>
      </c>
      <c r="CZ139" s="18">
        <v>356.10446519999994</v>
      </c>
      <c r="DA139" s="18">
        <v>14017.668672</v>
      </c>
      <c r="DB139" s="18">
        <v>260.0602786</v>
      </c>
      <c r="DC139" s="18">
        <v>0</v>
      </c>
      <c r="DD139" s="18">
        <v>160.21573679999997</v>
      </c>
      <c r="DE139" s="18">
        <v>13874.030225999999</v>
      </c>
      <c r="DF139" s="18">
        <v>57.12039399999999</v>
      </c>
      <c r="DG139" s="18">
        <v>108.47871359999999</v>
      </c>
      <c r="DH139" s="18">
        <v>147.97665119999999</v>
      </c>
      <c r="DI139" s="18">
        <v>122.3588298</v>
      </c>
      <c r="DJ139" s="18">
        <v>127.93144539999999</v>
      </c>
      <c r="DK139" s="18">
        <v>3238.4804908000001</v>
      </c>
      <c r="DL139" s="18">
        <v>222.83644319999999</v>
      </c>
      <c r="DM139" s="18">
        <v>1349.5367328</v>
      </c>
      <c r="DN139" s="18">
        <v>913.5621496</v>
      </c>
      <c r="DO139" s="18">
        <v>78.446138399999995</v>
      </c>
      <c r="DP139" s="18">
        <v>59.150144000000004</v>
      </c>
      <c r="DQ139" s="18">
        <v>242.5642464</v>
      </c>
      <c r="DR139" s="18">
        <v>0</v>
      </c>
      <c r="DS139" s="18">
        <v>328.33300279999997</v>
      </c>
      <c r="DT139" s="18">
        <v>0</v>
      </c>
      <c r="DU139" s="18">
        <v>0</v>
      </c>
      <c r="DV139" s="18">
        <v>86.680515600000007</v>
      </c>
      <c r="DW139" s="19">
        <v>97</v>
      </c>
      <c r="DX139" s="19">
        <v>120</v>
      </c>
      <c r="DY139" s="19">
        <v>230</v>
      </c>
      <c r="DZ139" s="19">
        <v>170</v>
      </c>
      <c r="EA139" s="19">
        <v>120</v>
      </c>
      <c r="EB139" s="17">
        <v>255</v>
      </c>
      <c r="EC139" s="17">
        <v>758</v>
      </c>
      <c r="ED139" s="17">
        <v>132</v>
      </c>
      <c r="EE139" s="17">
        <v>118</v>
      </c>
      <c r="EF139" s="17"/>
      <c r="EG139" s="17"/>
      <c r="EH139" s="17"/>
      <c r="EI139" s="17"/>
      <c r="EJ139" s="19"/>
      <c r="EK139" s="106">
        <v>1130</v>
      </c>
      <c r="EL139" s="106">
        <v>114</v>
      </c>
      <c r="EM139" s="106">
        <v>175</v>
      </c>
      <c r="EN139" s="106">
        <v>173</v>
      </c>
      <c r="EO139" s="106">
        <v>183</v>
      </c>
      <c r="EP139" s="106"/>
      <c r="EQ139" s="106"/>
      <c r="FB139" s="6">
        <v>0</v>
      </c>
      <c r="FC139" s="6">
        <v>0.16840476190476189</v>
      </c>
      <c r="FD139" s="6">
        <v>0</v>
      </c>
      <c r="FE139" s="6">
        <v>0</v>
      </c>
      <c r="FF139" s="6">
        <v>0</v>
      </c>
      <c r="FG139" s="6">
        <v>40.470619047619046</v>
      </c>
      <c r="FH139" s="6">
        <v>1.8726190476190476E-2</v>
      </c>
      <c r="FI139" s="6">
        <v>0</v>
      </c>
      <c r="FJ139" s="66">
        <v>0</v>
      </c>
      <c r="FK139" s="66">
        <v>22.385137632740719</v>
      </c>
      <c r="FL139" s="66">
        <v>0</v>
      </c>
      <c r="FM139" s="66">
        <v>0</v>
      </c>
      <c r="FN139" s="66">
        <v>0</v>
      </c>
      <c r="FO139" s="66">
        <v>19.084297222222222</v>
      </c>
      <c r="FP139" s="6">
        <v>0</v>
      </c>
      <c r="FQ139" s="6">
        <v>0</v>
      </c>
      <c r="FR139" s="66">
        <v>0</v>
      </c>
      <c r="FS139" s="6">
        <v>45.02434074074074</v>
      </c>
      <c r="FT139" s="6">
        <v>0</v>
      </c>
      <c r="FU139" s="6">
        <v>0</v>
      </c>
      <c r="FV139" s="6">
        <v>0</v>
      </c>
      <c r="FW139" s="6">
        <v>6.7668055555555551</v>
      </c>
      <c r="FX139" s="6">
        <v>0</v>
      </c>
      <c r="FY139" s="6">
        <v>0</v>
      </c>
      <c r="FZ139" s="66">
        <v>0</v>
      </c>
      <c r="GA139" s="6">
        <v>4.0406666666666666</v>
      </c>
      <c r="GB139" s="6">
        <v>0</v>
      </c>
      <c r="GC139" s="6">
        <v>0</v>
      </c>
      <c r="GD139"/>
    </row>
    <row r="140" spans="1:186" s="26" customFormat="1" x14ac:dyDescent="0.2">
      <c r="A140" s="68" t="s">
        <v>675</v>
      </c>
      <c r="B140" s="26" t="s">
        <v>121</v>
      </c>
      <c r="C140" s="26" t="s">
        <v>13</v>
      </c>
      <c r="D140" s="26" t="s">
        <v>255</v>
      </c>
      <c r="F140" s="26">
        <v>208</v>
      </c>
      <c r="G140" s="26">
        <v>1</v>
      </c>
      <c r="H140" s="26">
        <v>1</v>
      </c>
      <c r="I140" s="26">
        <v>1</v>
      </c>
      <c r="J140" s="26">
        <v>1</v>
      </c>
      <c r="L140" s="26" t="s">
        <v>676</v>
      </c>
      <c r="M140" s="26" t="s">
        <v>677</v>
      </c>
      <c r="N140" s="26" t="s">
        <v>427</v>
      </c>
      <c r="O140" s="26" t="s">
        <v>678</v>
      </c>
      <c r="P140" s="26" t="s">
        <v>679</v>
      </c>
      <c r="T140" s="39">
        <v>10000</v>
      </c>
      <c r="U140" s="39">
        <v>10000</v>
      </c>
      <c r="V140" s="39">
        <v>10000</v>
      </c>
      <c r="W140" s="39">
        <v>10000</v>
      </c>
      <c r="X140" s="39">
        <v>3.6458342707289045E-2</v>
      </c>
      <c r="Y140" s="39">
        <v>5.7291668531051269E-2</v>
      </c>
      <c r="Z140" s="69">
        <v>53</v>
      </c>
      <c r="AA140" s="69"/>
      <c r="AB140" s="56">
        <v>6.3199999999999997E-4</v>
      </c>
      <c r="AC140" s="59">
        <v>0.06</v>
      </c>
      <c r="AD140" s="58">
        <v>0.308</v>
      </c>
      <c r="AE140" s="58">
        <v>4.1100000000000003</v>
      </c>
      <c r="AF140" s="58">
        <v>0.61599999999999999</v>
      </c>
      <c r="AG140" s="26" t="s">
        <v>12</v>
      </c>
      <c r="AH140" s="26" t="s">
        <v>426</v>
      </c>
      <c r="AI140" s="31">
        <v>208</v>
      </c>
      <c r="AJ140" s="28" t="s">
        <v>13</v>
      </c>
      <c r="AK140" s="28" t="s">
        <v>427</v>
      </c>
      <c r="AL140" s="26">
        <v>947</v>
      </c>
      <c r="AM140" s="26" t="s">
        <v>246</v>
      </c>
      <c r="AO140" s="32">
        <v>0</v>
      </c>
      <c r="AP140" s="32">
        <v>0</v>
      </c>
      <c r="AQ140" s="32">
        <v>399.64</v>
      </c>
      <c r="AR140" s="32">
        <v>314.22000000000003</v>
      </c>
      <c r="AS140" s="32">
        <v>897.06</v>
      </c>
      <c r="AT140" s="32">
        <v>94.35</v>
      </c>
      <c r="AU140" s="32">
        <v>73.63</v>
      </c>
      <c r="AV140" s="32">
        <v>465.31</v>
      </c>
      <c r="AW140" s="32">
        <v>392.97</v>
      </c>
      <c r="AX140" s="32">
        <v>436.51</v>
      </c>
      <c r="AY140" s="32">
        <v>436.51</v>
      </c>
      <c r="AZ140" s="32">
        <v>0</v>
      </c>
      <c r="BA140" s="33">
        <v>48.048082999999998</v>
      </c>
      <c r="BB140" s="33">
        <v>35.3917328</v>
      </c>
      <c r="BC140" s="33">
        <v>133.73511199999999</v>
      </c>
      <c r="BD140" s="33">
        <v>163.50313679999999</v>
      </c>
      <c r="BE140" s="33">
        <v>378.37455479999994</v>
      </c>
      <c r="BF140" s="33">
        <v>110.3170944</v>
      </c>
      <c r="BG140" s="33">
        <v>73.415173999999993</v>
      </c>
      <c r="BH140" s="33">
        <v>246.55288579999998</v>
      </c>
      <c r="BI140" s="33">
        <v>195.71170439999997</v>
      </c>
      <c r="BJ140" s="33">
        <v>192.77011280000002</v>
      </c>
      <c r="BK140" s="33">
        <v>218.0096896</v>
      </c>
      <c r="BL140" s="33">
        <v>203.949252</v>
      </c>
      <c r="BM140" s="33">
        <v>36.581759999999996</v>
      </c>
      <c r="BN140" s="34">
        <v>14.607139400000001</v>
      </c>
      <c r="BO140" s="34">
        <v>14.662200800000003</v>
      </c>
      <c r="BP140" s="34">
        <v>94.618966400000005</v>
      </c>
      <c r="BQ140" s="34">
        <v>99.7110816</v>
      </c>
      <c r="BR140" s="34">
        <v>396.42103500000002</v>
      </c>
      <c r="BS140" s="34">
        <v>90.55911900000001</v>
      </c>
      <c r="BT140" s="34">
        <v>163.4118622</v>
      </c>
      <c r="BU140" s="34">
        <v>78.333137999999991</v>
      </c>
      <c r="BV140" s="34">
        <v>0</v>
      </c>
      <c r="BW140" s="34">
        <v>33.736382399999997</v>
      </c>
      <c r="BX140" s="34">
        <v>37.803510199999998</v>
      </c>
      <c r="BY140" s="34">
        <v>114.981471</v>
      </c>
      <c r="BZ140" s="34">
        <v>192.098084</v>
      </c>
      <c r="CA140" s="34">
        <v>130.52549999999999</v>
      </c>
      <c r="CB140" s="34">
        <v>164.48501660000002</v>
      </c>
      <c r="CC140" s="34">
        <v>125.35931960000002</v>
      </c>
      <c r="CD140" s="34">
        <v>14.073311200000001</v>
      </c>
      <c r="CE140" s="34">
        <v>38.631446400000002</v>
      </c>
      <c r="CF140" s="34">
        <v>24.125485000000001</v>
      </c>
      <c r="CG140" s="34">
        <v>121.64169240000003</v>
      </c>
      <c r="CH140" s="34">
        <v>127.61269920000002</v>
      </c>
      <c r="CI140" s="34">
        <v>777.9934386000001</v>
      </c>
      <c r="CJ140" s="34">
        <v>123.5614896</v>
      </c>
      <c r="CK140" s="34">
        <v>141.6891632</v>
      </c>
      <c r="CL140" s="34">
        <v>23.345114800000001</v>
      </c>
      <c r="CM140" s="34">
        <v>13.213998</v>
      </c>
      <c r="CN140" s="34">
        <v>42.511142</v>
      </c>
      <c r="CO140" s="34">
        <v>14.907581199999997</v>
      </c>
      <c r="CP140" s="34">
        <v>32.970374200000002</v>
      </c>
      <c r="CQ140" s="34">
        <v>39.187845800000005</v>
      </c>
      <c r="CR140" s="34">
        <v>20.926291200000005</v>
      </c>
      <c r="CS140" s="34">
        <v>7.6781403999999993</v>
      </c>
      <c r="CT140" s="35">
        <v>24.569455400000002</v>
      </c>
      <c r="CU140" s="35">
        <v>319.7221212</v>
      </c>
      <c r="CV140" s="35">
        <v>60.714148800000004</v>
      </c>
      <c r="CW140" s="35">
        <v>27.807049599999999</v>
      </c>
      <c r="CX140" s="35">
        <v>0</v>
      </c>
      <c r="CY140" s="35">
        <v>163.91000499999998</v>
      </c>
      <c r="CZ140" s="35">
        <v>0</v>
      </c>
      <c r="DA140" s="35">
        <v>0</v>
      </c>
      <c r="DB140" s="35">
        <v>0</v>
      </c>
      <c r="DC140" s="35">
        <v>209.34425240000002</v>
      </c>
      <c r="DD140" s="35">
        <v>71.41961719999999</v>
      </c>
      <c r="DE140" s="35">
        <v>0</v>
      </c>
      <c r="DF140" s="35">
        <v>675.38625000000002</v>
      </c>
      <c r="DG140" s="35">
        <v>263.99078100000003</v>
      </c>
      <c r="DH140" s="35">
        <v>50.227945200000001</v>
      </c>
      <c r="DI140" s="35">
        <v>252.47388920000003</v>
      </c>
      <c r="DJ140" s="35">
        <v>61.368537599999996</v>
      </c>
      <c r="DK140" s="35">
        <v>47.570428999999997</v>
      </c>
      <c r="DL140" s="35">
        <v>66.626458000000014</v>
      </c>
      <c r="DM140" s="35">
        <v>37.309257599999995</v>
      </c>
      <c r="DN140" s="35">
        <v>39.749561800000002</v>
      </c>
      <c r="DO140" s="35">
        <v>244.88832539999999</v>
      </c>
      <c r="DP140" s="35">
        <v>29.151053000000001</v>
      </c>
      <c r="DQ140" s="35">
        <v>25.827427999999998</v>
      </c>
      <c r="DR140" s="35">
        <v>204.82010480000002</v>
      </c>
      <c r="DS140" s="35">
        <v>52.316208000000003</v>
      </c>
      <c r="DT140" s="35">
        <v>0</v>
      </c>
      <c r="DU140" s="35">
        <v>604.5423978</v>
      </c>
      <c r="DV140" s="35">
        <v>0</v>
      </c>
      <c r="DW140" s="36">
        <v>26</v>
      </c>
      <c r="DX140" s="36">
        <v>50</v>
      </c>
      <c r="DY140" s="36">
        <v>190</v>
      </c>
      <c r="DZ140" s="36">
        <v>85</v>
      </c>
      <c r="EA140" s="36">
        <v>29</v>
      </c>
      <c r="EB140" s="29">
        <v>112</v>
      </c>
      <c r="EC140" s="29">
        <v>533</v>
      </c>
      <c r="ED140" s="29">
        <v>82.6</v>
      </c>
      <c r="EE140" s="29">
        <v>27.7</v>
      </c>
      <c r="EF140" s="30">
        <v>2002</v>
      </c>
      <c r="EG140" s="30">
        <v>52</v>
      </c>
      <c r="EH140" s="30">
        <v>52</v>
      </c>
      <c r="EI140" s="26">
        <v>0</v>
      </c>
      <c r="EJ140" s="26">
        <v>0</v>
      </c>
      <c r="EK140" s="108">
        <v>3260</v>
      </c>
      <c r="EL140" s="108">
        <v>227</v>
      </c>
      <c r="EM140" s="108">
        <v>931</v>
      </c>
      <c r="EN140" s="108">
        <v>984</v>
      </c>
      <c r="EO140" s="108">
        <v>1060</v>
      </c>
      <c r="EP140" s="111">
        <v>5000000</v>
      </c>
      <c r="EQ140" s="111"/>
      <c r="ER140" s="73">
        <v>3458.5066666666667</v>
      </c>
      <c r="ES140" s="26">
        <v>44.300000000000004</v>
      </c>
      <c r="ET140" s="26">
        <v>12.803333333333333</v>
      </c>
      <c r="EU140" s="26">
        <v>1788.39</v>
      </c>
      <c r="EV140" s="26">
        <v>461.16</v>
      </c>
      <c r="FB140" s="30">
        <v>0</v>
      </c>
      <c r="FC140" s="30">
        <v>0.2296270026455027</v>
      </c>
      <c r="FD140" s="26">
        <v>0</v>
      </c>
      <c r="FE140" s="26">
        <v>0</v>
      </c>
      <c r="FF140" s="26">
        <v>0</v>
      </c>
      <c r="FG140" s="26">
        <v>59.911562455026456</v>
      </c>
      <c r="FH140" s="26">
        <v>2.8250000000000001E-2</v>
      </c>
      <c r="FI140" s="26">
        <v>0</v>
      </c>
      <c r="FJ140" s="74">
        <v>0</v>
      </c>
      <c r="FK140" s="74">
        <v>9.4731079624547583</v>
      </c>
      <c r="FL140" s="74">
        <v>0</v>
      </c>
      <c r="FM140" s="74">
        <v>0</v>
      </c>
      <c r="FN140" s="74">
        <v>0</v>
      </c>
      <c r="FO140" s="74">
        <v>6.3872462962962953</v>
      </c>
      <c r="FP140" s="26">
        <v>0</v>
      </c>
      <c r="FQ140" s="26">
        <v>0</v>
      </c>
      <c r="FR140" s="74">
        <v>0</v>
      </c>
      <c r="FS140" s="26">
        <v>16.128292345679018</v>
      </c>
      <c r="FT140" s="26">
        <v>0</v>
      </c>
      <c r="FU140" s="26">
        <v>0</v>
      </c>
      <c r="FV140" s="26">
        <v>0</v>
      </c>
      <c r="FW140" s="26">
        <v>0.40774629629629633</v>
      </c>
      <c r="FX140" s="26">
        <v>0</v>
      </c>
      <c r="FY140" s="26">
        <v>0</v>
      </c>
      <c r="FZ140" s="74">
        <v>0</v>
      </c>
      <c r="GA140" s="26">
        <v>7.3328888888888902E-2</v>
      </c>
      <c r="GB140" s="26">
        <v>0</v>
      </c>
      <c r="GC140" s="26">
        <v>0</v>
      </c>
      <c r="GD140"/>
    </row>
    <row r="141" spans="1:186" s="6" customFormat="1" x14ac:dyDescent="0.2">
      <c r="A141" s="60" t="s">
        <v>880</v>
      </c>
      <c r="B141" s="6" t="s">
        <v>208</v>
      </c>
      <c r="C141" s="6" t="s">
        <v>210</v>
      </c>
      <c r="D141" s="6" t="s">
        <v>876</v>
      </c>
      <c r="H141" s="6">
        <v>1</v>
      </c>
      <c r="I141" s="6">
        <v>1</v>
      </c>
      <c r="L141" s="6" t="s">
        <v>209</v>
      </c>
      <c r="M141" s="6" t="s">
        <v>881</v>
      </c>
      <c r="N141" s="6" t="s">
        <v>197</v>
      </c>
      <c r="O141" s="6" t="s">
        <v>671</v>
      </c>
      <c r="P141" s="6" t="s">
        <v>672</v>
      </c>
      <c r="T141">
        <v>35.40112800939216</v>
      </c>
      <c r="U141">
        <v>28.948318966583845</v>
      </c>
      <c r="V141">
        <v>52.076594437561312</v>
      </c>
      <c r="W141">
        <v>42.251202606952738</v>
      </c>
      <c r="X141">
        <v>0.17222098913987016</v>
      </c>
      <c r="Y141">
        <v>0.29158884120987077</v>
      </c>
      <c r="Z141" s="64">
        <v>368</v>
      </c>
      <c r="AA141" s="64"/>
      <c r="AB141" s="61"/>
      <c r="AC141" s="61"/>
      <c r="AD141" s="62"/>
      <c r="AE141" s="63"/>
      <c r="AF141" s="63"/>
      <c r="AG141" s="6" t="s">
        <v>208</v>
      </c>
      <c r="AH141" s="6" t="s">
        <v>209</v>
      </c>
      <c r="AI141" s="4">
        <v>300345</v>
      </c>
      <c r="AJ141" s="3" t="s">
        <v>210</v>
      </c>
      <c r="AK141" s="3" t="s">
        <v>197</v>
      </c>
      <c r="AL141" s="6">
        <v>63</v>
      </c>
      <c r="EK141"/>
      <c r="EL141"/>
      <c r="EM141"/>
      <c r="EN141"/>
      <c r="EO141"/>
      <c r="EP141"/>
      <c r="EQ141"/>
      <c r="EW141" s="6">
        <v>0</v>
      </c>
      <c r="EX141" s="6">
        <v>0</v>
      </c>
      <c r="EY141" s="65">
        <v>39.536666666666669</v>
      </c>
      <c r="EZ141" s="6">
        <v>38.300000000000004</v>
      </c>
      <c r="FA141" s="6">
        <v>56.383333333333333</v>
      </c>
      <c r="GD141"/>
    </row>
    <row r="142" spans="1:186" s="6" customFormat="1" x14ac:dyDescent="0.2">
      <c r="A142" s="60" t="s">
        <v>944</v>
      </c>
      <c r="B142" s="6" t="s">
        <v>945</v>
      </c>
      <c r="C142" s="6" t="s">
        <v>485</v>
      </c>
      <c r="D142" s="6" t="s">
        <v>876</v>
      </c>
      <c r="H142" s="6">
        <v>1</v>
      </c>
      <c r="I142" s="6">
        <v>1</v>
      </c>
      <c r="L142" s="6" t="s">
        <v>487</v>
      </c>
      <c r="M142" s="6" t="s">
        <v>946</v>
      </c>
      <c r="N142" s="6" t="s">
        <v>473</v>
      </c>
      <c r="O142" s="6" t="s">
        <v>671</v>
      </c>
      <c r="P142" s="6" t="s">
        <v>672</v>
      </c>
      <c r="T142">
        <v>10000</v>
      </c>
      <c r="U142">
        <v>10000</v>
      </c>
      <c r="V142">
        <v>10000</v>
      </c>
      <c r="W142">
        <v>10000</v>
      </c>
      <c r="X142">
        <v>6.2473502311902532E-2</v>
      </c>
      <c r="Y142">
        <v>9.9970844291897856E-2</v>
      </c>
      <c r="Z142" s="64">
        <v>154</v>
      </c>
      <c r="AA142" s="64"/>
      <c r="AB142" s="61"/>
      <c r="AC142" s="61"/>
      <c r="AD142" s="62"/>
      <c r="AE142" s="63"/>
      <c r="AF142" s="63"/>
      <c r="AG142" s="6" t="s">
        <v>483</v>
      </c>
      <c r="AH142" s="6" t="s">
        <v>484</v>
      </c>
      <c r="AI142" s="2"/>
      <c r="AJ142" s="3" t="s">
        <v>485</v>
      </c>
      <c r="AK142" s="3" t="s">
        <v>473</v>
      </c>
      <c r="AL142" s="6">
        <v>1615</v>
      </c>
      <c r="AM142" s="6" t="s">
        <v>193</v>
      </c>
      <c r="EK142"/>
      <c r="EL142"/>
      <c r="EM142"/>
      <c r="EN142"/>
      <c r="EO142"/>
      <c r="EP142"/>
      <c r="EQ142"/>
      <c r="ER142" s="65">
        <v>153.82666666666668</v>
      </c>
      <c r="ES142" s="6">
        <v>121.64444444444445</v>
      </c>
      <c r="ET142" s="6">
        <v>0</v>
      </c>
      <c r="EU142" s="6">
        <v>75.943333333333328</v>
      </c>
      <c r="EV142" s="6">
        <v>0</v>
      </c>
      <c r="FB142" s="6">
        <v>0</v>
      </c>
      <c r="FC142" s="6">
        <v>0</v>
      </c>
      <c r="FD142" s="6">
        <v>0</v>
      </c>
      <c r="FE142" s="6">
        <v>0</v>
      </c>
      <c r="FF142" s="6">
        <v>0</v>
      </c>
      <c r="FG142" s="6">
        <v>5.4827428571428571</v>
      </c>
      <c r="FH142" s="6">
        <v>0</v>
      </c>
      <c r="FI142" s="6">
        <v>0</v>
      </c>
      <c r="FJ142" s="66">
        <v>0</v>
      </c>
      <c r="FK142" s="66">
        <v>13.846</v>
      </c>
      <c r="FL142" s="66">
        <v>0</v>
      </c>
      <c r="FM142" s="66">
        <v>0</v>
      </c>
      <c r="FN142" s="66">
        <v>0</v>
      </c>
      <c r="FO142" s="66">
        <v>11.453333333333333</v>
      </c>
      <c r="FP142" s="6">
        <v>0</v>
      </c>
      <c r="FQ142" s="6">
        <v>0</v>
      </c>
      <c r="FR142" s="66">
        <v>0</v>
      </c>
      <c r="FS142" s="6">
        <v>10.238555555555557</v>
      </c>
      <c r="FT142" s="6">
        <v>0</v>
      </c>
      <c r="FU142" s="6">
        <v>0</v>
      </c>
      <c r="FV142" s="6">
        <v>0</v>
      </c>
      <c r="FW142" s="6">
        <v>2.1370583333333335</v>
      </c>
      <c r="FX142" s="6">
        <v>0</v>
      </c>
      <c r="FY142" s="6">
        <v>0</v>
      </c>
      <c r="FZ142" s="66">
        <v>0</v>
      </c>
      <c r="GA142" s="6">
        <v>1.748057142857143</v>
      </c>
      <c r="GB142" s="6">
        <v>0</v>
      </c>
      <c r="GC142" s="6">
        <v>0</v>
      </c>
      <c r="GD142"/>
    </row>
    <row r="143" spans="1:186" s="6" customFormat="1" x14ac:dyDescent="0.2">
      <c r="A143" s="60" t="s">
        <v>801</v>
      </c>
      <c r="B143" s="6" t="s">
        <v>398</v>
      </c>
      <c r="C143" s="6" t="s">
        <v>76</v>
      </c>
      <c r="D143" s="6" t="s">
        <v>802</v>
      </c>
      <c r="F143" s="6">
        <v>300296</v>
      </c>
      <c r="H143" s="6">
        <v>1</v>
      </c>
      <c r="I143" s="6">
        <v>1</v>
      </c>
      <c r="J143" s="6">
        <v>1</v>
      </c>
      <c r="L143" s="6" t="s">
        <v>394</v>
      </c>
      <c r="M143" s="6" t="s">
        <v>803</v>
      </c>
      <c r="N143" s="6" t="s">
        <v>192</v>
      </c>
      <c r="O143" s="6" t="s">
        <v>671</v>
      </c>
      <c r="P143" s="6" t="s">
        <v>672</v>
      </c>
      <c r="T143">
        <v>0.92958883631185452</v>
      </c>
      <c r="U143">
        <v>0.60547172292808349</v>
      </c>
      <c r="V143">
        <v>1.0564194984221695</v>
      </c>
      <c r="W143">
        <v>0.80900659708632627</v>
      </c>
      <c r="X143">
        <v>0.80373125375091359</v>
      </c>
      <c r="Y143">
        <v>0.85191390704400916</v>
      </c>
      <c r="Z143" s="64">
        <v>76</v>
      </c>
      <c r="AA143" s="64"/>
      <c r="AB143" s="61"/>
      <c r="AC143" s="61"/>
      <c r="AD143" s="62"/>
      <c r="AE143" s="63"/>
      <c r="AF143" s="63"/>
      <c r="AG143" s="6" t="s">
        <v>398</v>
      </c>
      <c r="AH143" s="6" t="s">
        <v>399</v>
      </c>
      <c r="AI143" s="4">
        <v>300296</v>
      </c>
      <c r="AJ143" s="3" t="s">
        <v>76</v>
      </c>
      <c r="AK143" s="3" t="s">
        <v>192</v>
      </c>
      <c r="AL143" s="6">
        <v>747</v>
      </c>
      <c r="AM143" s="6" t="s">
        <v>193</v>
      </c>
      <c r="CT143" s="15">
        <v>0</v>
      </c>
      <c r="CU143" s="15">
        <v>0</v>
      </c>
      <c r="CV143" s="15">
        <v>0</v>
      </c>
      <c r="CW143" s="15">
        <v>0</v>
      </c>
      <c r="CX143" s="15">
        <v>0</v>
      </c>
      <c r="CY143" s="15">
        <v>0</v>
      </c>
      <c r="CZ143" s="15">
        <v>0</v>
      </c>
      <c r="DA143" s="15">
        <v>0</v>
      </c>
      <c r="DB143" s="15">
        <v>0</v>
      </c>
      <c r="DC143" s="15">
        <v>0</v>
      </c>
      <c r="DD143" s="15">
        <v>0</v>
      </c>
      <c r="DE143" s="15">
        <v>0</v>
      </c>
      <c r="DF143" s="15">
        <v>0</v>
      </c>
      <c r="DG143" s="15">
        <v>0</v>
      </c>
      <c r="DH143" s="15">
        <v>0</v>
      </c>
      <c r="DI143" s="15">
        <v>0</v>
      </c>
      <c r="DJ143" s="15">
        <v>0</v>
      </c>
      <c r="DK143" s="15">
        <v>0</v>
      </c>
      <c r="DL143" s="15">
        <v>0</v>
      </c>
      <c r="DM143" s="15">
        <v>0</v>
      </c>
      <c r="DN143" s="16">
        <v>0</v>
      </c>
      <c r="DO143" s="16">
        <v>0</v>
      </c>
      <c r="DP143" s="16">
        <v>0</v>
      </c>
      <c r="DQ143" s="16">
        <v>0</v>
      </c>
      <c r="DS143" s="16">
        <v>0</v>
      </c>
      <c r="DT143" s="16">
        <v>0</v>
      </c>
      <c r="DU143" s="16">
        <v>0</v>
      </c>
      <c r="DV143" s="16">
        <v>0</v>
      </c>
      <c r="DW143" s="15"/>
      <c r="DX143" s="15"/>
      <c r="DY143" s="15"/>
      <c r="DZ143" s="15"/>
      <c r="EA143" s="15"/>
      <c r="EB143" s="15"/>
      <c r="EC143" s="15"/>
      <c r="ED143" s="15"/>
      <c r="EE143" s="15"/>
      <c r="EF143" s="15"/>
      <c r="EG143" s="15"/>
      <c r="EH143" s="15"/>
      <c r="EI143" s="15"/>
      <c r="EJ143" s="15"/>
      <c r="EK143"/>
      <c r="EL143"/>
      <c r="EM143"/>
      <c r="EN143"/>
      <c r="EO143"/>
      <c r="EP143"/>
      <c r="EQ143"/>
      <c r="ER143" s="86">
        <v>0</v>
      </c>
      <c r="ES143" s="6">
        <v>112.33666666666666</v>
      </c>
      <c r="ET143" s="6">
        <v>0</v>
      </c>
      <c r="EU143" s="6">
        <v>2306.4433333333332</v>
      </c>
      <c r="EV143" s="6">
        <v>2525.9</v>
      </c>
      <c r="GD143"/>
    </row>
    <row r="144" spans="1:186" s="6" customFormat="1" x14ac:dyDescent="0.2">
      <c r="A144" s="60" t="s">
        <v>896</v>
      </c>
      <c r="B144" s="6" t="s">
        <v>274</v>
      </c>
      <c r="C144" s="6" t="s">
        <v>54</v>
      </c>
      <c r="D144" s="6" t="s">
        <v>876</v>
      </c>
      <c r="H144" s="6">
        <v>1</v>
      </c>
      <c r="I144" s="6">
        <v>1</v>
      </c>
      <c r="L144" s="6" t="s">
        <v>275</v>
      </c>
      <c r="M144" s="6" t="s">
        <v>897</v>
      </c>
      <c r="N144" s="6" t="s">
        <v>192</v>
      </c>
      <c r="O144" s="6" t="s">
        <v>671</v>
      </c>
      <c r="P144" s="6" t="s">
        <v>672</v>
      </c>
      <c r="T144">
        <v>10.97416721695167</v>
      </c>
      <c r="U144">
        <v>5.9484193939857137</v>
      </c>
      <c r="V144">
        <v>12.326700601145163</v>
      </c>
      <c r="W144">
        <v>8.2820932316634561</v>
      </c>
      <c r="X144">
        <v>0.77499249771394829</v>
      </c>
      <c r="Y144">
        <v>0.85548908464196038</v>
      </c>
      <c r="Z144" s="64">
        <v>89</v>
      </c>
      <c r="AA144" s="64"/>
      <c r="AB144" s="61"/>
      <c r="AC144" s="61"/>
      <c r="AD144" s="62"/>
      <c r="AE144" s="63"/>
      <c r="AF144" s="63"/>
      <c r="AG144" s="6" t="s">
        <v>274</v>
      </c>
      <c r="AH144" s="6" t="s">
        <v>275</v>
      </c>
      <c r="AI144" s="2"/>
      <c r="AJ144" s="3" t="s">
        <v>54</v>
      </c>
      <c r="AK144" s="3" t="s">
        <v>192</v>
      </c>
      <c r="AL144" s="6">
        <v>381</v>
      </c>
      <c r="AM144" s="6" t="s">
        <v>193</v>
      </c>
      <c r="AN144" s="4" t="s">
        <v>276</v>
      </c>
      <c r="CT144" s="15">
        <v>0</v>
      </c>
      <c r="CU144" s="15">
        <v>0</v>
      </c>
      <c r="CV144" s="15">
        <v>0</v>
      </c>
      <c r="CW144" s="15">
        <v>0</v>
      </c>
      <c r="CX144" s="15">
        <v>0</v>
      </c>
      <c r="CY144" s="15">
        <v>0</v>
      </c>
      <c r="CZ144" s="15">
        <v>0</v>
      </c>
      <c r="DA144" s="15">
        <v>1300</v>
      </c>
      <c r="DB144" s="15">
        <v>0</v>
      </c>
      <c r="DC144" s="15">
        <v>0</v>
      </c>
      <c r="DD144" s="15">
        <v>0</v>
      </c>
      <c r="DE144" s="15">
        <v>0</v>
      </c>
      <c r="DF144" s="15">
        <v>0</v>
      </c>
      <c r="DG144" s="15">
        <v>0</v>
      </c>
      <c r="DH144" s="15">
        <v>0</v>
      </c>
      <c r="DI144" s="15">
        <v>0</v>
      </c>
      <c r="DJ144" s="15">
        <v>0</v>
      </c>
      <c r="DK144" s="15">
        <v>0</v>
      </c>
      <c r="DL144" s="15">
        <v>0</v>
      </c>
      <c r="DM144" s="15">
        <v>0</v>
      </c>
      <c r="DN144" s="16">
        <v>0</v>
      </c>
      <c r="DO144" s="16">
        <v>0</v>
      </c>
      <c r="DP144" s="16">
        <v>0</v>
      </c>
      <c r="DQ144" s="16">
        <v>0</v>
      </c>
      <c r="DS144" s="16">
        <v>0</v>
      </c>
      <c r="DT144" s="16">
        <v>0</v>
      </c>
      <c r="DU144" s="16">
        <v>0</v>
      </c>
      <c r="DV144" s="16">
        <v>0</v>
      </c>
      <c r="DW144" s="15"/>
      <c r="DX144" s="15"/>
      <c r="DY144" s="15"/>
      <c r="DZ144" s="15"/>
      <c r="EA144" s="15"/>
      <c r="EB144" s="15"/>
      <c r="EC144" s="15"/>
      <c r="ED144" s="15"/>
      <c r="EE144" s="15"/>
      <c r="EF144" s="15"/>
      <c r="EG144" s="15"/>
      <c r="EH144" s="15"/>
      <c r="EI144" s="15"/>
      <c r="EJ144" s="15"/>
      <c r="EK144"/>
      <c r="EL144"/>
      <c r="EM144"/>
      <c r="EN144"/>
      <c r="EO144"/>
      <c r="EP144"/>
      <c r="EQ144"/>
      <c r="ER144" s="65">
        <v>1223.3133333333333</v>
      </c>
      <c r="ES144" s="6">
        <v>876.59333333333325</v>
      </c>
      <c r="ET144" s="6">
        <v>509.09333333333331</v>
      </c>
      <c r="EU144" s="6">
        <v>259.03666666666669</v>
      </c>
      <c r="EV144" s="6">
        <v>819.18</v>
      </c>
      <c r="GD144"/>
    </row>
    <row r="145" spans="1:186" s="6" customFormat="1" x14ac:dyDescent="0.2">
      <c r="A145" s="60" t="s">
        <v>691</v>
      </c>
      <c r="B145" s="6" t="s">
        <v>551</v>
      </c>
      <c r="C145" s="6" t="s">
        <v>552</v>
      </c>
      <c r="D145" s="6" t="s">
        <v>805</v>
      </c>
      <c r="F145" s="6">
        <v>301764</v>
      </c>
      <c r="H145" s="6">
        <v>1</v>
      </c>
      <c r="J145" s="6">
        <v>1</v>
      </c>
      <c r="L145" s="6" t="s">
        <v>876</v>
      </c>
      <c r="M145" s="6" t="s">
        <v>876</v>
      </c>
      <c r="N145" s="6" t="s">
        <v>192</v>
      </c>
      <c r="O145" s="6" t="s">
        <v>876</v>
      </c>
      <c r="P145" s="6" t="s">
        <v>876</v>
      </c>
      <c r="T145"/>
      <c r="U145"/>
      <c r="V145"/>
      <c r="W145"/>
      <c r="X145"/>
      <c r="Y145"/>
      <c r="Z145"/>
      <c r="AA145"/>
      <c r="AB145" s="61"/>
      <c r="AC145" s="61"/>
      <c r="AD145" s="62"/>
      <c r="AE145" s="63"/>
      <c r="AF145" s="63"/>
      <c r="AG145" s="4" t="s">
        <v>551</v>
      </c>
      <c r="AI145" s="2"/>
      <c r="AJ145" s="6" t="s">
        <v>552</v>
      </c>
      <c r="AK145" s="3" t="s">
        <v>192</v>
      </c>
      <c r="AM145" s="6" t="s">
        <v>193</v>
      </c>
      <c r="EK145"/>
      <c r="EL145"/>
      <c r="EM145"/>
      <c r="EN145"/>
      <c r="EO145"/>
      <c r="EP145"/>
      <c r="EQ145"/>
      <c r="ER145" s="65">
        <v>6077.8833333333341</v>
      </c>
      <c r="ES145" s="6">
        <v>1144.9433333333332</v>
      </c>
      <c r="ET145" s="6">
        <v>2072.87</v>
      </c>
      <c r="EU145" s="6">
        <v>2742.8999999999996</v>
      </c>
      <c r="EV145" s="6">
        <v>4448.63</v>
      </c>
      <c r="FB145" s="6">
        <v>0</v>
      </c>
      <c r="FC145" s="6">
        <v>0</v>
      </c>
      <c r="FD145" s="6">
        <v>0</v>
      </c>
      <c r="FE145" s="6">
        <v>0</v>
      </c>
      <c r="FF145" s="6">
        <v>0</v>
      </c>
      <c r="FG145" s="6">
        <v>4.7317460317460314E-3</v>
      </c>
      <c r="FH145" s="6">
        <v>0</v>
      </c>
      <c r="FI145" s="6">
        <v>0.23605873015873011</v>
      </c>
      <c r="FJ145" s="66">
        <v>0</v>
      </c>
      <c r="FK145" s="66">
        <v>0</v>
      </c>
      <c r="FL145" s="66">
        <v>0</v>
      </c>
      <c r="FM145" s="66">
        <v>0.10677839080459768</v>
      </c>
      <c r="FN145" s="66">
        <v>0</v>
      </c>
      <c r="FO145" s="66">
        <v>7.1236111111111125E-2</v>
      </c>
      <c r="FP145" s="6">
        <v>7.3711111111111121E-3</v>
      </c>
      <c r="FQ145" s="6">
        <v>0.23675333333333334</v>
      </c>
      <c r="FR145" s="66">
        <v>0</v>
      </c>
      <c r="FS145" s="6">
        <v>0.14402962962962959</v>
      </c>
      <c r="FT145" s="6">
        <v>0</v>
      </c>
      <c r="FU145" s="6">
        <v>0.69297333333333333</v>
      </c>
      <c r="FV145" s="6">
        <v>0</v>
      </c>
      <c r="FW145" s="6">
        <v>3.9611111111111104E-2</v>
      </c>
      <c r="FX145" s="6">
        <v>0</v>
      </c>
      <c r="FY145" s="6">
        <v>5.0733333333333325E-3</v>
      </c>
      <c r="FZ145" s="66">
        <v>0</v>
      </c>
      <c r="GA145" s="6">
        <v>0</v>
      </c>
      <c r="GB145" s="6">
        <v>1.0215555555555556E-2</v>
      </c>
      <c r="GC145" s="6">
        <v>12.5131</v>
      </c>
      <c r="GD145"/>
    </row>
    <row r="146" spans="1:186" s="6" customFormat="1" x14ac:dyDescent="0.2">
      <c r="A146" s="60" t="s">
        <v>798</v>
      </c>
      <c r="B146" s="6" t="s">
        <v>435</v>
      </c>
      <c r="C146" s="6" t="s">
        <v>59</v>
      </c>
      <c r="D146" s="6" t="s">
        <v>799</v>
      </c>
      <c r="F146" s="6">
        <v>300295</v>
      </c>
      <c r="H146" s="6">
        <v>1</v>
      </c>
      <c r="I146" s="6">
        <v>1</v>
      </c>
      <c r="J146" s="6">
        <v>1</v>
      </c>
      <c r="L146" s="6" t="s">
        <v>432</v>
      </c>
      <c r="M146" s="6" t="s">
        <v>800</v>
      </c>
      <c r="N146" s="6" t="s">
        <v>192</v>
      </c>
      <c r="O146" s="6" t="s">
        <v>671</v>
      </c>
      <c r="P146" s="6" t="s">
        <v>672</v>
      </c>
      <c r="T146">
        <v>7.1007412611664602</v>
      </c>
      <c r="U146">
        <v>1.9959881792220981</v>
      </c>
      <c r="V146">
        <v>10000</v>
      </c>
      <c r="W146">
        <v>10000</v>
      </c>
      <c r="X146">
        <v>6.912154228440856E-2</v>
      </c>
      <c r="Y146">
        <v>0.12230406633963398</v>
      </c>
      <c r="Z146" s="64">
        <v>610</v>
      </c>
      <c r="AA146" s="64"/>
      <c r="AB146" s="61"/>
      <c r="AC146" s="61"/>
      <c r="AD146" s="62"/>
      <c r="AE146" s="63"/>
      <c r="AF146" s="63"/>
      <c r="AG146" s="6" t="s">
        <v>435</v>
      </c>
      <c r="AH146" s="6" t="s">
        <v>436</v>
      </c>
      <c r="AI146" s="4">
        <v>300295</v>
      </c>
      <c r="AJ146" s="3" t="s">
        <v>59</v>
      </c>
      <c r="AK146" s="3" t="s">
        <v>192</v>
      </c>
      <c r="AL146" s="6">
        <v>746</v>
      </c>
      <c r="AM146" s="6" t="s">
        <v>193</v>
      </c>
      <c r="AN146" s="4" t="s">
        <v>437</v>
      </c>
      <c r="CT146" s="15">
        <v>61</v>
      </c>
      <c r="CU146" s="15">
        <v>71</v>
      </c>
      <c r="CV146" s="15">
        <v>79</v>
      </c>
      <c r="CW146" s="15">
        <v>48</v>
      </c>
      <c r="CX146" s="15">
        <v>86</v>
      </c>
      <c r="CY146" s="15">
        <v>47</v>
      </c>
      <c r="CZ146" s="15">
        <v>0</v>
      </c>
      <c r="DA146" s="15">
        <v>3100</v>
      </c>
      <c r="DB146" s="15">
        <v>150</v>
      </c>
      <c r="DC146" s="15">
        <v>72</v>
      </c>
      <c r="DD146" s="15">
        <v>0</v>
      </c>
      <c r="DE146" s="15">
        <v>4700</v>
      </c>
      <c r="DF146" s="15">
        <v>68</v>
      </c>
      <c r="DG146" s="15">
        <v>0</v>
      </c>
      <c r="DH146" s="15">
        <v>87</v>
      </c>
      <c r="DI146" s="15">
        <v>78</v>
      </c>
      <c r="DJ146" s="15">
        <v>95</v>
      </c>
      <c r="DK146" s="15">
        <v>1400</v>
      </c>
      <c r="DL146" s="15">
        <v>110</v>
      </c>
      <c r="DM146" s="15">
        <v>530</v>
      </c>
      <c r="DN146" s="16">
        <v>420</v>
      </c>
      <c r="DO146" s="16">
        <v>63</v>
      </c>
      <c r="DP146" s="16">
        <v>47</v>
      </c>
      <c r="DQ146" s="16">
        <v>0</v>
      </c>
      <c r="DS146" s="16">
        <v>170</v>
      </c>
      <c r="DT146" s="16">
        <v>0</v>
      </c>
      <c r="DU146" s="16">
        <v>0</v>
      </c>
      <c r="DV146" s="16">
        <v>100</v>
      </c>
      <c r="DW146" s="15"/>
      <c r="DX146" s="15"/>
      <c r="DY146" s="15"/>
      <c r="DZ146" s="15"/>
      <c r="EA146" s="15"/>
      <c r="EB146" s="15"/>
      <c r="EC146" s="15"/>
      <c r="ED146" s="15"/>
      <c r="EE146" s="15"/>
      <c r="EF146" s="15"/>
      <c r="EG146" s="15"/>
      <c r="EH146" s="15"/>
      <c r="EI146" s="15"/>
      <c r="EJ146" s="15"/>
      <c r="EK146"/>
      <c r="EL146"/>
      <c r="EM146"/>
      <c r="EN146"/>
      <c r="EO146"/>
      <c r="EP146"/>
      <c r="EQ146"/>
      <c r="ER146" s="65">
        <v>14187.533333333335</v>
      </c>
      <c r="ES146" s="6">
        <v>10341.160000000002</v>
      </c>
      <c r="ET146" s="6">
        <v>7987.9733333333324</v>
      </c>
      <c r="EU146" s="6">
        <v>13604</v>
      </c>
      <c r="EV146" s="6">
        <v>16019.993333333332</v>
      </c>
      <c r="FB146" s="6">
        <v>0</v>
      </c>
      <c r="FC146" s="6">
        <v>1.1303174603174601E-2</v>
      </c>
      <c r="FD146" s="6">
        <v>1.1239682539682539E-2</v>
      </c>
      <c r="FE146" s="6">
        <v>3.9396825396825388E-2</v>
      </c>
      <c r="FF146" s="6">
        <v>0</v>
      </c>
      <c r="FG146" s="6">
        <v>2.166031746031746E-2</v>
      </c>
      <c r="FH146" s="6">
        <v>1.9731746031746031E-2</v>
      </c>
      <c r="FI146" s="6">
        <v>2.4596404761904762</v>
      </c>
      <c r="FJ146" s="66">
        <v>0</v>
      </c>
      <c r="FK146" s="66">
        <v>0.15365170292593036</v>
      </c>
      <c r="FL146" s="66">
        <v>1.082087411584683E-2</v>
      </c>
      <c r="FM146" s="66">
        <v>0.54296482758620679</v>
      </c>
      <c r="FN146" s="66">
        <v>0</v>
      </c>
      <c r="FO146" s="66">
        <v>0.34105833333333335</v>
      </c>
      <c r="FP146" s="6">
        <v>4.641777777777778E-2</v>
      </c>
      <c r="FQ146" s="6">
        <v>0.76532333333333336</v>
      </c>
      <c r="FR146" s="66">
        <v>0</v>
      </c>
      <c r="FS146" s="6">
        <v>0.7224666666666667</v>
      </c>
      <c r="FT146" s="6">
        <v>0</v>
      </c>
      <c r="FU146" s="6">
        <v>6.7686533333333339</v>
      </c>
      <c r="FV146" s="6">
        <v>0</v>
      </c>
      <c r="FW146" s="6">
        <v>0.14837148148148144</v>
      </c>
      <c r="FX146" s="6">
        <v>0</v>
      </c>
      <c r="FY146" s="6">
        <v>2.6759999999999999E-2</v>
      </c>
      <c r="FZ146" s="66">
        <v>0</v>
      </c>
      <c r="GA146" s="6">
        <v>1.4833333333333332E-2</v>
      </c>
      <c r="GB146" s="6">
        <v>4.7422222222222234E-2</v>
      </c>
      <c r="GC146" s="6">
        <v>2.2254277777777776</v>
      </c>
      <c r="GD146"/>
    </row>
    <row r="147" spans="1:186" s="26" customFormat="1" x14ac:dyDescent="0.2">
      <c r="A147" s="68" t="s">
        <v>723</v>
      </c>
      <c r="B147" s="26" t="s">
        <v>127</v>
      </c>
      <c r="C147" s="26" t="s">
        <v>42</v>
      </c>
      <c r="D147" s="26" t="s">
        <v>255</v>
      </c>
      <c r="F147" s="26">
        <v>635</v>
      </c>
      <c r="G147" s="26">
        <v>1</v>
      </c>
      <c r="H147" s="26">
        <v>1</v>
      </c>
      <c r="I147" s="26">
        <v>1</v>
      </c>
      <c r="J147" s="26">
        <v>1</v>
      </c>
      <c r="L147" s="26" t="s">
        <v>724</v>
      </c>
      <c r="M147" s="26" t="s">
        <v>725</v>
      </c>
      <c r="N147" s="26" t="s">
        <v>427</v>
      </c>
      <c r="O147" s="26" t="s">
        <v>678</v>
      </c>
      <c r="P147" s="26" t="s">
        <v>679</v>
      </c>
      <c r="T147" s="39">
        <v>44.1618808652537</v>
      </c>
      <c r="U147" s="39">
        <v>28.653707881430019</v>
      </c>
      <c r="V147" s="39">
        <v>80.14400519044375</v>
      </c>
      <c r="W147" s="39">
        <v>382.12430415329152</v>
      </c>
      <c r="X147" s="39">
        <v>9.0040576036263364E-2</v>
      </c>
      <c r="Y147" s="39">
        <v>0.13127691229968597</v>
      </c>
      <c r="Z147" s="69">
        <v>72</v>
      </c>
      <c r="AA147" s="69"/>
      <c r="AB147" s="56">
        <v>5.6499999999999998E-5</v>
      </c>
      <c r="AC147" s="57">
        <v>0.3</v>
      </c>
      <c r="AD147" s="58">
        <v>0.39100000000000001</v>
      </c>
      <c r="AE147" s="58">
        <v>5.89</v>
      </c>
      <c r="AF147" s="58">
        <v>0.82799999999999996</v>
      </c>
      <c r="AG147" s="26" t="s">
        <v>41</v>
      </c>
      <c r="AH147" s="26" t="s">
        <v>522</v>
      </c>
      <c r="AI147" s="31">
        <v>635</v>
      </c>
      <c r="AJ147" s="28" t="s">
        <v>42</v>
      </c>
      <c r="AK147" s="28" t="s">
        <v>427</v>
      </c>
      <c r="AL147" s="26">
        <v>2635</v>
      </c>
      <c r="AM147" s="26" t="s">
        <v>246</v>
      </c>
      <c r="AO147" s="32">
        <v>244.93</v>
      </c>
      <c r="AP147" s="32">
        <v>186.34</v>
      </c>
      <c r="AQ147" s="32">
        <v>1551.57</v>
      </c>
      <c r="AR147" s="32">
        <v>1773.23</v>
      </c>
      <c r="AS147" s="32">
        <v>6302.13</v>
      </c>
      <c r="AT147" s="32">
        <v>1158.71</v>
      </c>
      <c r="AU147" s="32">
        <v>272.14999999999998</v>
      </c>
      <c r="AV147" s="32">
        <v>3961.48</v>
      </c>
      <c r="AW147" s="32">
        <v>3162.02</v>
      </c>
      <c r="AX147" s="32">
        <v>3492.83</v>
      </c>
      <c r="AY147" s="32">
        <v>3492.83</v>
      </c>
      <c r="AZ147" s="32">
        <v>132.82</v>
      </c>
      <c r="BA147" s="33">
        <v>401.39777320000002</v>
      </c>
      <c r="BB147" s="33">
        <v>373.30011520000005</v>
      </c>
      <c r="BC147" s="33">
        <v>905.99047999999993</v>
      </c>
      <c r="BD147" s="33">
        <v>1263.9961807999998</v>
      </c>
      <c r="BE147" s="33">
        <v>2666.3963743999998</v>
      </c>
      <c r="BF147" s="33">
        <v>863.57249400000001</v>
      </c>
      <c r="BG147" s="33">
        <v>303.02140599999996</v>
      </c>
      <c r="BH147" s="33">
        <v>1916.9757853999997</v>
      </c>
      <c r="BI147" s="33">
        <v>1754.8937394</v>
      </c>
      <c r="BJ147" s="33">
        <v>1661.0265956000001</v>
      </c>
      <c r="BK147" s="33">
        <v>1857.9843071999999</v>
      </c>
      <c r="BL147" s="33">
        <v>1680.558276</v>
      </c>
      <c r="BM147" s="33">
        <v>278.34877439999997</v>
      </c>
      <c r="BN147" s="34">
        <v>183.27250120000002</v>
      </c>
      <c r="BO147" s="34">
        <v>142.84231639999999</v>
      </c>
      <c r="BP147" s="34">
        <v>579.66651000000002</v>
      </c>
      <c r="BQ147" s="34">
        <v>917.01586880000002</v>
      </c>
      <c r="BR147" s="34">
        <v>2979.3471264</v>
      </c>
      <c r="BS147" s="34">
        <v>331.99139520000006</v>
      </c>
      <c r="BT147" s="34">
        <v>1950.5139659999995</v>
      </c>
      <c r="BU147" s="34">
        <v>1120.8613636</v>
      </c>
      <c r="BV147" s="34">
        <v>70.90509879999999</v>
      </c>
      <c r="BW147" s="34">
        <v>142.52223999999998</v>
      </c>
      <c r="BX147" s="34">
        <v>282.18173759999996</v>
      </c>
      <c r="BY147" s="34">
        <v>484.81029819999998</v>
      </c>
      <c r="BZ147" s="34">
        <v>1031.5821633999999</v>
      </c>
      <c r="CA147" s="34">
        <v>277.01529699999998</v>
      </c>
      <c r="CB147" s="34">
        <v>1280.6221788</v>
      </c>
      <c r="CC147" s="34">
        <v>1110.2209200000002</v>
      </c>
      <c r="CD147" s="34">
        <v>103.23448279999999</v>
      </c>
      <c r="CE147" s="34">
        <v>390.22744999999998</v>
      </c>
      <c r="CF147" s="34">
        <v>220.02834460000003</v>
      </c>
      <c r="CG147" s="34">
        <v>843.12219600000003</v>
      </c>
      <c r="CH147" s="34">
        <v>1181.0362054000002</v>
      </c>
      <c r="CI147" s="34">
        <v>5525.8912759999994</v>
      </c>
      <c r="CJ147" s="34">
        <v>457.05495359999998</v>
      </c>
      <c r="CK147" s="34">
        <v>1511.8475408000002</v>
      </c>
      <c r="CL147" s="34">
        <v>250.49498020000001</v>
      </c>
      <c r="CM147" s="34">
        <v>195.88526160000001</v>
      </c>
      <c r="CN147" s="34">
        <v>401.43123200000008</v>
      </c>
      <c r="CO147" s="34">
        <v>307.30156160000001</v>
      </c>
      <c r="CP147" s="34">
        <v>161.54336799999999</v>
      </c>
      <c r="CQ147" s="34">
        <v>816.29876700000011</v>
      </c>
      <c r="CR147" s="34">
        <v>433.16877780000004</v>
      </c>
      <c r="CS147" s="34">
        <v>113.368621</v>
      </c>
      <c r="CT147" s="35">
        <v>117.9683768</v>
      </c>
      <c r="CU147" s="35">
        <v>427.62977619999998</v>
      </c>
      <c r="CV147" s="35">
        <v>450.09526499999998</v>
      </c>
      <c r="CW147" s="35">
        <v>238.37812479999999</v>
      </c>
      <c r="CX147" s="35">
        <v>63.135160799999994</v>
      </c>
      <c r="CY147" s="35">
        <v>166.48529940000003</v>
      </c>
      <c r="CZ147" s="35">
        <v>704.20126559999994</v>
      </c>
      <c r="DA147" s="35">
        <v>8453.7379194000005</v>
      </c>
      <c r="DB147" s="35">
        <v>95.993508599999998</v>
      </c>
      <c r="DC147" s="35">
        <v>269.37975879999999</v>
      </c>
      <c r="DD147" s="35">
        <v>302.53265279999994</v>
      </c>
      <c r="DE147" s="35">
        <v>1519.8569975999999</v>
      </c>
      <c r="DF147" s="35">
        <v>677.74019199999998</v>
      </c>
      <c r="DG147" s="35">
        <v>1032.8786424</v>
      </c>
      <c r="DH147" s="35">
        <v>208.58776080000001</v>
      </c>
      <c r="DI147" s="35">
        <v>348.72895340000002</v>
      </c>
      <c r="DJ147" s="35">
        <v>272.04943519999995</v>
      </c>
      <c r="DK147" s="35">
        <v>1036.1164896000002</v>
      </c>
      <c r="DL147" s="35">
        <v>463.17322800000005</v>
      </c>
      <c r="DM147" s="35">
        <v>581.97200640000005</v>
      </c>
      <c r="DN147" s="35">
        <v>550.47377600000004</v>
      </c>
      <c r="DO147" s="35">
        <v>479.63748000000004</v>
      </c>
      <c r="DP147" s="35">
        <v>197.40140800000003</v>
      </c>
      <c r="DQ147" s="35">
        <v>207.70989040000001</v>
      </c>
      <c r="DR147" s="35">
        <v>351.14808599999998</v>
      </c>
      <c r="DS147" s="35">
        <v>358.29076399999997</v>
      </c>
      <c r="DT147" s="35">
        <v>112.21924000000001</v>
      </c>
      <c r="DU147" s="35">
        <v>640.55058200000008</v>
      </c>
      <c r="DV147" s="35">
        <v>151.9249044</v>
      </c>
      <c r="DW147" s="36">
        <v>250</v>
      </c>
      <c r="DX147" s="36">
        <v>320</v>
      </c>
      <c r="DY147" s="36">
        <v>900</v>
      </c>
      <c r="DZ147" s="36">
        <v>450</v>
      </c>
      <c r="EA147" s="36">
        <v>340</v>
      </c>
      <c r="EB147" s="29">
        <v>604</v>
      </c>
      <c r="EC147" s="29">
        <v>2790</v>
      </c>
      <c r="ED147" s="29">
        <v>386</v>
      </c>
      <c r="EE147" s="29">
        <v>237</v>
      </c>
      <c r="EF147" s="30">
        <v>1994</v>
      </c>
      <c r="EG147" s="30">
        <v>51.7</v>
      </c>
      <c r="EH147" s="30">
        <v>51.7</v>
      </c>
      <c r="EI147" s="26">
        <v>0</v>
      </c>
      <c r="EJ147" s="26">
        <v>0</v>
      </c>
      <c r="EK147" s="108">
        <v>17900</v>
      </c>
      <c r="EL147" s="108">
        <v>1640</v>
      </c>
      <c r="EM147" s="108">
        <v>3040</v>
      </c>
      <c r="EN147" s="108">
        <v>3090</v>
      </c>
      <c r="EO147" s="108">
        <v>3350</v>
      </c>
      <c r="EP147" s="110">
        <v>1000000</v>
      </c>
      <c r="EQ147" s="110"/>
      <c r="ER147" s="73">
        <v>29638.103333333333</v>
      </c>
      <c r="ES147" s="26">
        <v>15006.93</v>
      </c>
      <c r="ET147" s="26">
        <v>390.11533333333335</v>
      </c>
      <c r="EU147" s="26">
        <v>14774.136666666665</v>
      </c>
      <c r="EV147" s="26">
        <v>6384.163333333333</v>
      </c>
      <c r="FB147" s="30">
        <v>0</v>
      </c>
      <c r="FC147" s="30">
        <v>1.2927978411904761</v>
      </c>
      <c r="FD147" s="26">
        <v>0.14191472566137567</v>
      </c>
      <c r="FE147" s="26">
        <v>0.36911283071428569</v>
      </c>
      <c r="FF147" s="26">
        <v>0</v>
      </c>
      <c r="FG147" s="26">
        <v>3649.4789381466667</v>
      </c>
      <c r="FH147" s="26">
        <v>0.53705832380952379</v>
      </c>
      <c r="FI147" s="26">
        <v>0.3902046228571428</v>
      </c>
      <c r="FJ147" s="74">
        <v>0</v>
      </c>
      <c r="FK147" s="74">
        <v>573.08455226106673</v>
      </c>
      <c r="FL147" s="74">
        <v>0</v>
      </c>
      <c r="FM147" s="74">
        <v>0</v>
      </c>
      <c r="FN147" s="74">
        <v>0</v>
      </c>
      <c r="FO147" s="74">
        <v>1180.1317777777781</v>
      </c>
      <c r="FP147" s="26">
        <v>0</v>
      </c>
      <c r="FQ147" s="26">
        <v>0</v>
      </c>
      <c r="FR147" s="74">
        <v>0</v>
      </c>
      <c r="FS147" s="26">
        <v>5174.1162592592591</v>
      </c>
      <c r="FT147" s="26">
        <v>0</v>
      </c>
      <c r="FU147" s="26">
        <v>0</v>
      </c>
      <c r="FV147" s="26">
        <v>0</v>
      </c>
      <c r="FW147" s="26">
        <v>170.27155555555555</v>
      </c>
      <c r="FX147" s="26">
        <v>0</v>
      </c>
      <c r="FY147" s="26">
        <v>0</v>
      </c>
      <c r="FZ147" s="74">
        <v>0</v>
      </c>
      <c r="GA147" s="26">
        <v>77.90066666666668</v>
      </c>
      <c r="GB147" s="26">
        <v>0</v>
      </c>
      <c r="GC147" s="26">
        <v>0</v>
      </c>
      <c r="GD147"/>
    </row>
    <row r="148" spans="1:186" s="6" customFormat="1" x14ac:dyDescent="0.2">
      <c r="A148" s="60" t="s">
        <v>923</v>
      </c>
      <c r="B148" s="6" t="s">
        <v>629</v>
      </c>
      <c r="C148" s="6" t="s">
        <v>366</v>
      </c>
      <c r="D148" s="6" t="s">
        <v>876</v>
      </c>
      <c r="H148" s="6">
        <v>1</v>
      </c>
      <c r="I148" s="6">
        <v>1</v>
      </c>
      <c r="L148" s="6" t="s">
        <v>363</v>
      </c>
      <c r="M148" s="6" t="s">
        <v>924</v>
      </c>
      <c r="N148" s="6" t="s">
        <v>270</v>
      </c>
      <c r="O148" s="6" t="s">
        <v>671</v>
      </c>
      <c r="P148" s="6" t="s">
        <v>672</v>
      </c>
      <c r="T148">
        <v>13.163506935671984</v>
      </c>
      <c r="U148">
        <v>7.6972528842211974</v>
      </c>
      <c r="V148">
        <v>29.677332413337375</v>
      </c>
      <c r="W148">
        <v>14.459792304690922</v>
      </c>
      <c r="X148">
        <v>0.43401189956423247</v>
      </c>
      <c r="Y148">
        <v>0.73438552164284454</v>
      </c>
      <c r="Z148" s="64">
        <v>60</v>
      </c>
      <c r="AA148" s="64"/>
      <c r="AB148" s="61"/>
      <c r="AC148" s="61"/>
      <c r="AD148" s="62"/>
      <c r="AE148" s="63"/>
      <c r="AF148" s="63"/>
      <c r="AG148" s="6" t="s">
        <v>364</v>
      </c>
      <c r="AH148" s="6" t="s">
        <v>365</v>
      </c>
      <c r="AI148" s="2"/>
      <c r="AJ148" s="3" t="s">
        <v>366</v>
      </c>
      <c r="AK148" s="3" t="s">
        <v>270</v>
      </c>
      <c r="AL148" s="6">
        <v>629</v>
      </c>
      <c r="AM148" s="6" t="s">
        <v>193</v>
      </c>
      <c r="EK148"/>
      <c r="EL148"/>
      <c r="EM148"/>
      <c r="EN148"/>
      <c r="EO148"/>
      <c r="EP148"/>
      <c r="EQ148"/>
      <c r="FB148" s="6">
        <v>0</v>
      </c>
      <c r="FC148" s="6">
        <v>0</v>
      </c>
      <c r="FD148" s="6">
        <v>0</v>
      </c>
      <c r="FE148" s="6">
        <v>0</v>
      </c>
      <c r="FF148" s="6">
        <v>0</v>
      </c>
      <c r="FG148" s="6">
        <v>0.80961904761904757</v>
      </c>
      <c r="FH148" s="6">
        <v>0</v>
      </c>
      <c r="FI148" s="6">
        <v>0</v>
      </c>
      <c r="FJ148" s="66">
        <v>0</v>
      </c>
      <c r="FK148" s="66">
        <v>0</v>
      </c>
      <c r="FL148" s="66">
        <v>0</v>
      </c>
      <c r="FM148" s="66">
        <v>0</v>
      </c>
      <c r="FN148" s="66">
        <v>0</v>
      </c>
      <c r="FO148" s="66">
        <v>0.22043055555555555</v>
      </c>
      <c r="FP148" s="6">
        <v>0</v>
      </c>
      <c r="FQ148" s="6">
        <v>0</v>
      </c>
      <c r="FR148" s="66">
        <v>0</v>
      </c>
      <c r="FS148" s="6">
        <v>0.45226666666666665</v>
      </c>
      <c r="FT148" s="6">
        <v>0</v>
      </c>
      <c r="FU148" s="6">
        <v>0</v>
      </c>
      <c r="FV148" s="6">
        <v>0</v>
      </c>
      <c r="FW148" s="6">
        <v>5.0500000000000003E-2</v>
      </c>
      <c r="FX148" s="6">
        <v>0</v>
      </c>
      <c r="FY148" s="6">
        <v>0</v>
      </c>
      <c r="FZ148" s="66">
        <v>0</v>
      </c>
      <c r="GA148" s="6">
        <v>1.6633333333333337E-2</v>
      </c>
      <c r="GB148" s="6">
        <v>0</v>
      </c>
      <c r="GC148" s="6">
        <v>0</v>
      </c>
      <c r="GD148"/>
    </row>
    <row r="149" spans="1:186" s="6" customFormat="1" x14ac:dyDescent="0.2">
      <c r="A149" s="60" t="s">
        <v>865</v>
      </c>
      <c r="B149" s="6" t="s">
        <v>574</v>
      </c>
      <c r="C149" s="6" t="s">
        <v>293</v>
      </c>
      <c r="D149" s="6" t="s">
        <v>866</v>
      </c>
      <c r="F149" s="6">
        <v>301743</v>
      </c>
      <c r="H149" s="6">
        <v>1</v>
      </c>
      <c r="I149" s="6">
        <v>1</v>
      </c>
      <c r="J149" s="6">
        <v>1</v>
      </c>
      <c r="L149" s="6" t="s">
        <v>292</v>
      </c>
      <c r="M149" s="6" t="s">
        <v>867</v>
      </c>
      <c r="N149" s="6" t="s">
        <v>201</v>
      </c>
      <c r="O149" s="6" t="s">
        <v>671</v>
      </c>
      <c r="P149" s="6" t="s">
        <v>672</v>
      </c>
      <c r="T149">
        <v>10000</v>
      </c>
      <c r="U149">
        <v>10000</v>
      </c>
      <c r="V149">
        <v>10000</v>
      </c>
      <c r="W149">
        <v>10000</v>
      </c>
      <c r="X149">
        <v>5.2083335620005486E-2</v>
      </c>
      <c r="Y149">
        <v>7.8124992054884393E-2</v>
      </c>
      <c r="Z149" s="64">
        <v>29</v>
      </c>
      <c r="AA149" s="64"/>
      <c r="AB149" s="61"/>
      <c r="AC149" s="61"/>
      <c r="AD149" s="62"/>
      <c r="AE149" s="63"/>
      <c r="AF149" s="63"/>
      <c r="AG149" s="6" t="s">
        <v>291</v>
      </c>
      <c r="AH149" s="6" t="s">
        <v>292</v>
      </c>
      <c r="AI149" s="2"/>
      <c r="AJ149" s="3" t="s">
        <v>293</v>
      </c>
      <c r="AK149" s="3" t="s">
        <v>201</v>
      </c>
      <c r="AL149" s="6">
        <v>415</v>
      </c>
      <c r="AM149" s="6" t="s">
        <v>193</v>
      </c>
      <c r="EK149"/>
      <c r="EL149"/>
      <c r="EM149"/>
      <c r="EN149"/>
      <c r="EO149"/>
      <c r="EP149"/>
      <c r="EQ149"/>
      <c r="ER149" s="75">
        <v>0</v>
      </c>
      <c r="ES149" s="6">
        <v>0</v>
      </c>
      <c r="ET149" s="6">
        <v>1.6666666666666667</v>
      </c>
      <c r="EU149" s="6">
        <v>1.3833333333333335</v>
      </c>
      <c r="EV149" s="6">
        <v>0.95333333333333325</v>
      </c>
      <c r="FB149" s="6">
        <v>0</v>
      </c>
      <c r="FC149" s="6">
        <v>0</v>
      </c>
      <c r="FD149" s="6">
        <v>0</v>
      </c>
      <c r="FE149" s="6">
        <v>0</v>
      </c>
      <c r="FF149" s="6">
        <v>0</v>
      </c>
      <c r="FG149" s="6">
        <v>0</v>
      </c>
      <c r="FH149" s="6">
        <v>0</v>
      </c>
      <c r="FI149" s="6">
        <v>0</v>
      </c>
      <c r="FJ149" s="66">
        <v>0</v>
      </c>
      <c r="FK149" s="66">
        <v>0</v>
      </c>
      <c r="FL149" s="66">
        <v>0</v>
      </c>
      <c r="FM149" s="66">
        <v>0</v>
      </c>
      <c r="FN149" s="66">
        <v>0</v>
      </c>
      <c r="FO149" s="66">
        <v>0</v>
      </c>
      <c r="FP149" s="6">
        <v>0</v>
      </c>
      <c r="FQ149" s="6">
        <v>0</v>
      </c>
      <c r="FR149" s="66">
        <v>0</v>
      </c>
      <c r="FS149" s="6">
        <v>0</v>
      </c>
      <c r="FT149" s="6">
        <v>0</v>
      </c>
      <c r="FU149" s="6">
        <v>0</v>
      </c>
      <c r="FV149" s="6">
        <v>0</v>
      </c>
      <c r="FW149" s="6">
        <v>0</v>
      </c>
      <c r="FX149" s="6">
        <v>0</v>
      </c>
      <c r="FY149" s="6">
        <v>0</v>
      </c>
      <c r="FZ149" s="66">
        <v>0</v>
      </c>
      <c r="GA149" s="6">
        <v>0</v>
      </c>
      <c r="GB149" s="6">
        <v>0</v>
      </c>
      <c r="GC149" s="6">
        <v>0</v>
      </c>
      <c r="GD149"/>
    </row>
    <row r="150" spans="1:186" s="6" customFormat="1" x14ac:dyDescent="0.2">
      <c r="A150" s="60" t="s">
        <v>833</v>
      </c>
      <c r="B150" s="6" t="s">
        <v>572</v>
      </c>
      <c r="C150" s="6" t="s">
        <v>249</v>
      </c>
      <c r="D150" s="6" t="s">
        <v>664</v>
      </c>
      <c r="F150" s="6">
        <v>301724</v>
      </c>
      <c r="H150" s="6">
        <v>1</v>
      </c>
      <c r="I150" s="6">
        <v>1</v>
      </c>
      <c r="J150" s="6">
        <v>1</v>
      </c>
      <c r="L150" s="6" t="s">
        <v>248</v>
      </c>
      <c r="M150" s="6" t="s">
        <v>834</v>
      </c>
      <c r="N150" s="6" t="s">
        <v>201</v>
      </c>
      <c r="O150" s="6" t="s">
        <v>671</v>
      </c>
      <c r="P150" s="6" t="s">
        <v>672</v>
      </c>
      <c r="Q150" s="6">
        <v>1</v>
      </c>
      <c r="S150" s="6">
        <v>1</v>
      </c>
      <c r="T150">
        <v>10000</v>
      </c>
      <c r="U150">
        <v>10000</v>
      </c>
      <c r="V150">
        <v>10000</v>
      </c>
      <c r="W150">
        <v>10000</v>
      </c>
      <c r="X150">
        <v>0.10416665988517422</v>
      </c>
      <c r="Y150">
        <v>0.13020833320600012</v>
      </c>
      <c r="Z150" s="64">
        <v>26</v>
      </c>
      <c r="AA150" s="64"/>
      <c r="AB150" s="61"/>
      <c r="AC150" s="61"/>
      <c r="AD150" s="62"/>
      <c r="AE150" s="63"/>
      <c r="AF150" s="63"/>
      <c r="AG150" s="6" t="s">
        <v>247</v>
      </c>
      <c r="AH150" s="6" t="s">
        <v>248</v>
      </c>
      <c r="AI150" s="2"/>
      <c r="AJ150" s="3" t="s">
        <v>249</v>
      </c>
      <c r="AK150" s="3" t="s">
        <v>201</v>
      </c>
      <c r="AL150" s="6">
        <v>251</v>
      </c>
      <c r="AM150" s="6" t="s">
        <v>193</v>
      </c>
      <c r="EK150"/>
      <c r="EL150"/>
      <c r="EM150"/>
      <c r="EN150"/>
      <c r="EO150"/>
      <c r="EP150"/>
      <c r="EQ150"/>
      <c r="ER150" s="75">
        <v>0</v>
      </c>
      <c r="ES150" s="6">
        <v>0</v>
      </c>
      <c r="ET150" s="6">
        <v>2.7300000000000004</v>
      </c>
      <c r="EU150" s="6">
        <v>5.253333333333333</v>
      </c>
      <c r="EV150" s="6">
        <v>1.23</v>
      </c>
      <c r="FB150" s="6">
        <v>0</v>
      </c>
      <c r="FC150" s="6">
        <v>0</v>
      </c>
      <c r="FD150" s="6">
        <v>0</v>
      </c>
      <c r="FE150" s="6">
        <v>0</v>
      </c>
      <c r="FF150" s="6">
        <v>0</v>
      </c>
      <c r="FG150" s="6">
        <v>0</v>
      </c>
      <c r="FH150" s="6">
        <v>4.0269841269841272E-3</v>
      </c>
      <c r="FI150" s="6">
        <v>0</v>
      </c>
      <c r="FJ150" s="66">
        <v>0</v>
      </c>
      <c r="FK150" s="66">
        <v>0</v>
      </c>
      <c r="FL150" s="66">
        <v>0</v>
      </c>
      <c r="FM150" s="66">
        <v>0</v>
      </c>
      <c r="FN150" s="66">
        <v>0</v>
      </c>
      <c r="FO150" s="66">
        <v>0</v>
      </c>
      <c r="FP150" s="6">
        <v>0</v>
      </c>
      <c r="FQ150" s="6">
        <v>0</v>
      </c>
      <c r="FR150" s="66">
        <v>0</v>
      </c>
      <c r="FS150" s="6">
        <v>0</v>
      </c>
      <c r="FT150" s="6">
        <v>0</v>
      </c>
      <c r="FU150" s="6">
        <v>0</v>
      </c>
      <c r="FV150" s="6">
        <v>0</v>
      </c>
      <c r="FW150" s="6">
        <v>0</v>
      </c>
      <c r="FX150" s="6">
        <v>0</v>
      </c>
      <c r="FY150" s="6">
        <v>0</v>
      </c>
      <c r="FZ150" s="66">
        <v>0</v>
      </c>
      <c r="GA150" s="6">
        <v>0</v>
      </c>
      <c r="GB150" s="6">
        <v>0</v>
      </c>
      <c r="GC150" s="6">
        <v>0</v>
      </c>
      <c r="GD150"/>
    </row>
    <row r="151" spans="1:186" s="26" customFormat="1" x14ac:dyDescent="0.2">
      <c r="A151" s="68" t="s">
        <v>717</v>
      </c>
      <c r="B151" s="26" t="s">
        <v>125</v>
      </c>
      <c r="C151" s="26" t="s">
        <v>33</v>
      </c>
      <c r="D151" s="26" t="s">
        <v>255</v>
      </c>
      <c r="F151" s="26">
        <v>482</v>
      </c>
      <c r="G151" s="26">
        <v>1</v>
      </c>
      <c r="H151" s="26">
        <v>1</v>
      </c>
      <c r="I151" s="26">
        <v>1</v>
      </c>
      <c r="J151" s="26">
        <v>1</v>
      </c>
      <c r="L151" s="26" t="s">
        <v>718</v>
      </c>
      <c r="M151" s="26" t="s">
        <v>719</v>
      </c>
      <c r="N151" s="26" t="s">
        <v>427</v>
      </c>
      <c r="O151" s="26" t="s">
        <v>678</v>
      </c>
      <c r="P151" s="26" t="s">
        <v>679</v>
      </c>
      <c r="T151" s="39">
        <v>64.73572228794373</v>
      </c>
      <c r="U151" s="39">
        <v>10000</v>
      </c>
      <c r="V151" s="39">
        <v>141.68000966194228</v>
      </c>
      <c r="W151" s="39">
        <v>10000</v>
      </c>
      <c r="X151" s="39">
        <v>3.0364332248894885E-2</v>
      </c>
      <c r="Y151" s="39">
        <v>8.3986567068539325E-2</v>
      </c>
      <c r="Z151" s="69">
        <v>800</v>
      </c>
      <c r="AA151" s="69"/>
      <c r="AB151" s="56">
        <v>4.2999999999999999E-4</v>
      </c>
      <c r="AC151" s="57">
        <v>0.04</v>
      </c>
      <c r="AD151" s="58">
        <v>0.42</v>
      </c>
      <c r="AE151" s="58">
        <v>4.34</v>
      </c>
      <c r="AF151" s="58">
        <v>0.73499999999999999</v>
      </c>
      <c r="AG151" s="26" t="s">
        <v>32</v>
      </c>
      <c r="AH151" s="26" t="s">
        <v>503</v>
      </c>
      <c r="AI151" s="31">
        <v>482</v>
      </c>
      <c r="AJ151" s="28" t="s">
        <v>33</v>
      </c>
      <c r="AK151" s="28" t="s">
        <v>427</v>
      </c>
      <c r="AL151" s="26">
        <v>1855</v>
      </c>
      <c r="AM151" s="26" t="s">
        <v>246</v>
      </c>
      <c r="AO151" s="32">
        <v>32.5</v>
      </c>
      <c r="AP151" s="32">
        <v>28.73</v>
      </c>
      <c r="AQ151" s="32">
        <v>437.78</v>
      </c>
      <c r="AR151" s="32">
        <v>318.11</v>
      </c>
      <c r="AS151" s="32">
        <v>706.15</v>
      </c>
      <c r="AT151" s="32">
        <v>159.55000000000001</v>
      </c>
      <c r="AU151" s="32">
        <v>77.42</v>
      </c>
      <c r="AV151" s="32">
        <v>445.18</v>
      </c>
      <c r="AW151" s="32">
        <v>347.74</v>
      </c>
      <c r="AX151" s="32">
        <v>404.29</v>
      </c>
      <c r="AY151" s="32">
        <v>404.29</v>
      </c>
      <c r="AZ151" s="32">
        <v>40.25</v>
      </c>
      <c r="BA151" s="33">
        <v>68.493661599999996</v>
      </c>
      <c r="BB151" s="33">
        <v>59.1833648</v>
      </c>
      <c r="BC151" s="33">
        <v>130.77283599999998</v>
      </c>
      <c r="BD151" s="33">
        <v>154.43604319999997</v>
      </c>
      <c r="BE151" s="33">
        <v>287.2024892</v>
      </c>
      <c r="BF151" s="33">
        <v>135.15809999999999</v>
      </c>
      <c r="BG151" s="33">
        <v>69.269254000000004</v>
      </c>
      <c r="BH151" s="33">
        <v>217.43423379999999</v>
      </c>
      <c r="BI151" s="33">
        <v>183.37393559999998</v>
      </c>
      <c r="BJ151" s="33">
        <v>170.68032640000001</v>
      </c>
      <c r="BK151" s="33">
        <v>196.09118079999999</v>
      </c>
      <c r="BL151" s="33">
        <v>182.244834</v>
      </c>
      <c r="BM151" s="33">
        <v>56.639923199999998</v>
      </c>
      <c r="BN151" s="34">
        <v>28.239334199999998</v>
      </c>
      <c r="BO151" s="34">
        <v>29.528660000000002</v>
      </c>
      <c r="BP151" s="34">
        <v>113.93497720000001</v>
      </c>
      <c r="BQ151" s="34">
        <v>145.75076800000002</v>
      </c>
      <c r="BR151" s="34">
        <v>388.94881740000005</v>
      </c>
      <c r="BS151" s="34">
        <v>119.813603</v>
      </c>
      <c r="BT151" s="34">
        <v>232.385381</v>
      </c>
      <c r="BU151" s="34">
        <v>171.32033879999997</v>
      </c>
      <c r="BV151" s="34">
        <v>31.538591999999998</v>
      </c>
      <c r="BW151" s="34">
        <v>35.109279400000005</v>
      </c>
      <c r="BX151" s="34">
        <v>37.224184999999999</v>
      </c>
      <c r="BY151" s="34">
        <v>112.06521479999999</v>
      </c>
      <c r="BZ151" s="34">
        <v>168.62448799999999</v>
      </c>
      <c r="CA151" s="34">
        <v>103.58250000000001</v>
      </c>
      <c r="CB151" s="34">
        <v>144.17361360000001</v>
      </c>
      <c r="CC151" s="34">
        <v>156.53160440000002</v>
      </c>
      <c r="CD151" s="34">
        <v>36.566797799999996</v>
      </c>
      <c r="CE151" s="34">
        <v>60.714276000000005</v>
      </c>
      <c r="CF151" s="34">
        <v>37.791483999999997</v>
      </c>
      <c r="CG151" s="34">
        <v>131.30395720000001</v>
      </c>
      <c r="CH151" s="34">
        <v>131.27864880000001</v>
      </c>
      <c r="CI151" s="34">
        <v>559.96083360000011</v>
      </c>
      <c r="CJ151" s="34">
        <v>103.935744</v>
      </c>
      <c r="CK151" s="34">
        <v>173.38386780000002</v>
      </c>
      <c r="CL151" s="34">
        <v>33.6744828</v>
      </c>
      <c r="CM151" s="34">
        <v>30.843766199999997</v>
      </c>
      <c r="CN151" s="34">
        <v>47.687933399999999</v>
      </c>
      <c r="CO151" s="34">
        <v>24.643898799999999</v>
      </c>
      <c r="CP151" s="34">
        <v>30.836411000000002</v>
      </c>
      <c r="CQ151" s="34">
        <v>58.236916999999998</v>
      </c>
      <c r="CR151" s="34">
        <v>40.348736000000002</v>
      </c>
      <c r="CS151" s="34">
        <v>17.287205199999999</v>
      </c>
      <c r="CT151" s="35">
        <v>38.469866400000001</v>
      </c>
      <c r="CU151" s="35">
        <v>168.39328920000003</v>
      </c>
      <c r="CV151" s="35">
        <v>112.51681600000001</v>
      </c>
      <c r="CW151" s="35">
        <v>68.4791168</v>
      </c>
      <c r="CX151" s="35">
        <v>32.665006800000008</v>
      </c>
      <c r="CY151" s="35">
        <v>92.866886000000008</v>
      </c>
      <c r="CZ151" s="35">
        <v>320.91615760000002</v>
      </c>
      <c r="DA151" s="35">
        <v>662.60177880000003</v>
      </c>
      <c r="DB151" s="35">
        <v>37.269909000000006</v>
      </c>
      <c r="DC151" s="35">
        <v>113.92586180000001</v>
      </c>
      <c r="DD151" s="35">
        <v>93.642328599999999</v>
      </c>
      <c r="DE151" s="35">
        <v>90.338285400000004</v>
      </c>
      <c r="DF151" s="35">
        <v>302.05875000000003</v>
      </c>
      <c r="DG151" s="35">
        <v>295.17898340000005</v>
      </c>
      <c r="DH151" s="35">
        <v>65.090530000000001</v>
      </c>
      <c r="DI151" s="35">
        <v>124.13087440000001</v>
      </c>
      <c r="DJ151" s="35">
        <v>57.268898399999998</v>
      </c>
      <c r="DK151" s="35">
        <v>102.17924599999999</v>
      </c>
      <c r="DL151" s="35">
        <v>108.45606560000002</v>
      </c>
      <c r="DM151" s="35">
        <v>74.78255519999999</v>
      </c>
      <c r="DN151" s="35">
        <v>73.713528200000013</v>
      </c>
      <c r="DO151" s="35">
        <v>141.16769459999998</v>
      </c>
      <c r="DP151" s="35">
        <v>36.533134200000006</v>
      </c>
      <c r="DQ151" s="35">
        <v>37.325364399999998</v>
      </c>
      <c r="DR151" s="35">
        <v>101.18049240000001</v>
      </c>
      <c r="DS151" s="35">
        <v>64.861200000000011</v>
      </c>
      <c r="DT151" s="35">
        <v>40.286567999999995</v>
      </c>
      <c r="DU151" s="35">
        <v>215.5705068</v>
      </c>
      <c r="DV151" s="35">
        <v>47.076635200000005</v>
      </c>
      <c r="DW151" s="36">
        <v>58</v>
      </c>
      <c r="DX151" s="36">
        <v>64</v>
      </c>
      <c r="DY151" s="36">
        <v>160</v>
      </c>
      <c r="DZ151" s="36">
        <v>84</v>
      </c>
      <c r="EA151" s="36">
        <v>57</v>
      </c>
      <c r="EB151" s="29">
        <v>129</v>
      </c>
      <c r="EC151" s="29">
        <v>461</v>
      </c>
      <c r="ED151" s="29">
        <v>94.3</v>
      </c>
      <c r="EE151" s="29">
        <v>69.5</v>
      </c>
      <c r="EF151" s="30">
        <v>1963</v>
      </c>
      <c r="EG151" s="30">
        <v>51.5</v>
      </c>
      <c r="EH151" s="30">
        <v>51.5</v>
      </c>
      <c r="EI151" s="26">
        <v>0</v>
      </c>
      <c r="EJ151" s="26">
        <v>0</v>
      </c>
      <c r="EK151" s="108">
        <v>3490</v>
      </c>
      <c r="EL151" s="108">
        <v>342</v>
      </c>
      <c r="EM151" s="108">
        <v>918</v>
      </c>
      <c r="EN151" s="108">
        <v>982</v>
      </c>
      <c r="EO151" s="108">
        <v>1060</v>
      </c>
      <c r="EP151" s="110">
        <v>2000000</v>
      </c>
      <c r="EQ151" s="110"/>
      <c r="ER151" s="73">
        <v>9057.0899999999983</v>
      </c>
      <c r="ES151" s="26">
        <v>511.1466666666667</v>
      </c>
      <c r="ET151" s="26">
        <v>24.03</v>
      </c>
      <c r="EU151" s="26">
        <v>3170.5</v>
      </c>
      <c r="EV151" s="26">
        <v>1582.93</v>
      </c>
      <c r="FB151" s="30">
        <v>0</v>
      </c>
      <c r="FC151" s="30">
        <v>0.41666573602292756</v>
      </c>
      <c r="FD151" s="26">
        <v>0</v>
      </c>
      <c r="FE151" s="26">
        <v>0</v>
      </c>
      <c r="FF151" s="26">
        <v>0</v>
      </c>
      <c r="FG151" s="26">
        <v>184.18657876507936</v>
      </c>
      <c r="FH151" s="26">
        <v>6.0158730158730168E-2</v>
      </c>
      <c r="FI151" s="26">
        <v>9.6428571428571423E-3</v>
      </c>
      <c r="FJ151" s="74">
        <v>0</v>
      </c>
      <c r="FK151" s="74">
        <v>42.845200513065272</v>
      </c>
      <c r="FL151" s="74">
        <v>0</v>
      </c>
      <c r="FM151" s="74">
        <v>0</v>
      </c>
      <c r="FN151" s="74">
        <v>0</v>
      </c>
      <c r="FO151" s="74">
        <v>26.189239814814815</v>
      </c>
      <c r="FP151" s="26">
        <v>0</v>
      </c>
      <c r="FQ151" s="26">
        <v>0</v>
      </c>
      <c r="FR151" s="74">
        <v>0</v>
      </c>
      <c r="FS151" s="26">
        <v>124.23642913580248</v>
      </c>
      <c r="FT151" s="26">
        <v>0</v>
      </c>
      <c r="FU151" s="26">
        <v>0</v>
      </c>
      <c r="FV151" s="26">
        <v>0</v>
      </c>
      <c r="FW151" s="26">
        <v>2.2377654320987652</v>
      </c>
      <c r="FX151" s="26">
        <v>0</v>
      </c>
      <c r="FY151" s="26">
        <v>0</v>
      </c>
      <c r="FZ151" s="74">
        <v>0</v>
      </c>
      <c r="GA151" s="26">
        <v>0.48323555555555547</v>
      </c>
      <c r="GB151" s="26">
        <v>0</v>
      </c>
      <c r="GC151" s="26">
        <v>0</v>
      </c>
      <c r="GD151"/>
    </row>
    <row r="152" spans="1:186" s="6" customFormat="1" x14ac:dyDescent="0.2">
      <c r="A152" s="60" t="s">
        <v>786</v>
      </c>
      <c r="B152" s="6" t="s">
        <v>787</v>
      </c>
      <c r="C152" s="6" t="s">
        <v>468</v>
      </c>
      <c r="D152" s="6" t="s">
        <v>782</v>
      </c>
      <c r="F152" s="6">
        <v>354</v>
      </c>
      <c r="H152" s="6">
        <v>1</v>
      </c>
      <c r="I152" s="6">
        <v>1</v>
      </c>
      <c r="J152" s="6">
        <v>1</v>
      </c>
      <c r="L152" s="6" t="s">
        <v>467</v>
      </c>
      <c r="M152" s="6" t="s">
        <v>788</v>
      </c>
      <c r="N152" s="6" t="s">
        <v>270</v>
      </c>
      <c r="O152" s="6" t="s">
        <v>671</v>
      </c>
      <c r="P152" s="6" t="s">
        <v>672</v>
      </c>
      <c r="T152">
        <v>12.601290364166131</v>
      </c>
      <c r="U152">
        <v>8.7090141487977597</v>
      </c>
      <c r="V152">
        <v>10000</v>
      </c>
      <c r="W152">
        <v>17.294267038503648</v>
      </c>
      <c r="X152">
        <v>0.14348609348572497</v>
      </c>
      <c r="Y152">
        <v>0.60926705333900677</v>
      </c>
      <c r="Z152" s="64">
        <v>110</v>
      </c>
      <c r="AA152" s="64"/>
      <c r="AB152" s="61"/>
      <c r="AC152" s="61"/>
      <c r="AD152" s="62"/>
      <c r="AE152" s="63"/>
      <c r="AF152" s="63"/>
      <c r="AG152" s="6" t="s">
        <v>466</v>
      </c>
      <c r="AH152" s="6" t="s">
        <v>467</v>
      </c>
      <c r="AI152" s="2"/>
      <c r="AJ152" s="3" t="s">
        <v>468</v>
      </c>
      <c r="AK152" s="3" t="s">
        <v>270</v>
      </c>
      <c r="AL152" s="6">
        <v>1316</v>
      </c>
      <c r="AM152" s="6" t="s">
        <v>193</v>
      </c>
      <c r="EK152"/>
      <c r="EL152"/>
      <c r="EM152"/>
      <c r="EN152"/>
      <c r="EO152"/>
      <c r="EP152"/>
      <c r="EQ152"/>
      <c r="FB152" s="6">
        <v>0</v>
      </c>
      <c r="FC152" s="6">
        <v>4.2023809523809522E-3</v>
      </c>
      <c r="FD152" s="6">
        <v>0</v>
      </c>
      <c r="FE152" s="6">
        <v>1.6884681583476762E-2</v>
      </c>
      <c r="FF152" s="6">
        <v>0</v>
      </c>
      <c r="FG152" s="6">
        <v>0</v>
      </c>
      <c r="FH152" s="6">
        <v>221.8833333333333</v>
      </c>
      <c r="FI152" s="6">
        <v>0.23151190476190478</v>
      </c>
      <c r="FJ152" s="66">
        <v>0</v>
      </c>
      <c r="FK152" s="66">
        <v>0</v>
      </c>
      <c r="FL152" s="66">
        <v>106.00392238501038</v>
      </c>
      <c r="FM152" s="66">
        <v>0.43542730169636573</v>
      </c>
      <c r="FN152" s="66">
        <v>0</v>
      </c>
      <c r="FO152" s="66">
        <v>4.925277777777777E-2</v>
      </c>
      <c r="FP152" s="6">
        <v>45.554000000000002</v>
      </c>
      <c r="FQ152" s="6">
        <v>0.15466666666666667</v>
      </c>
      <c r="FR152" s="66">
        <v>0</v>
      </c>
      <c r="FS152" s="6">
        <v>4.7462962962962964E-2</v>
      </c>
      <c r="FT152" s="6">
        <v>32.183500000000002</v>
      </c>
      <c r="FU152" s="6">
        <v>0.18418333333333331</v>
      </c>
      <c r="FV152" s="6">
        <v>0</v>
      </c>
      <c r="FW152" s="6">
        <v>4.1144444444444449E-2</v>
      </c>
      <c r="FX152" s="6">
        <v>9.331766666666665</v>
      </c>
      <c r="FY152" s="6">
        <v>9.0083333333333321E-2</v>
      </c>
      <c r="FZ152" s="66">
        <v>0</v>
      </c>
      <c r="GA152" s="6">
        <v>4.1883333333333342E-2</v>
      </c>
      <c r="GB152" s="6">
        <v>4.3255166666666671</v>
      </c>
      <c r="GC152" s="6">
        <v>5.2033333333333334E-2</v>
      </c>
      <c r="GD152"/>
    </row>
    <row r="153" spans="1:186" s="6" customFormat="1" x14ac:dyDescent="0.2">
      <c r="A153" s="60" t="s">
        <v>849</v>
      </c>
      <c r="B153" s="6" t="s">
        <v>336</v>
      </c>
      <c r="C153" s="6" t="s">
        <v>338</v>
      </c>
      <c r="D153" s="6" t="s">
        <v>255</v>
      </c>
      <c r="E153" s="6" t="s">
        <v>626</v>
      </c>
      <c r="F153" s="6">
        <v>301732</v>
      </c>
      <c r="H153" s="6">
        <v>1</v>
      </c>
      <c r="I153" s="6">
        <v>1</v>
      </c>
      <c r="J153" s="6">
        <v>1</v>
      </c>
      <c r="L153" s="6" t="s">
        <v>334</v>
      </c>
      <c r="M153" s="6" t="s">
        <v>850</v>
      </c>
      <c r="N153" s="6" t="s">
        <v>201</v>
      </c>
      <c r="O153" s="6" t="s">
        <v>671</v>
      </c>
      <c r="P153" s="6" t="s">
        <v>672</v>
      </c>
      <c r="T153">
        <v>49.521097758000238</v>
      </c>
      <c r="U153">
        <v>3.7018476902555535</v>
      </c>
      <c r="V153">
        <v>54.499549543099072</v>
      </c>
      <c r="W153">
        <v>4.4898300720844633</v>
      </c>
      <c r="X153">
        <v>4.2551240842023524E-2</v>
      </c>
      <c r="Y153">
        <v>0.89726216556248961</v>
      </c>
      <c r="Z153" s="64">
        <v>69</v>
      </c>
      <c r="AA153" s="64"/>
      <c r="AB153" s="61"/>
      <c r="AC153" s="61"/>
      <c r="AD153" s="62"/>
      <c r="AE153" s="63"/>
      <c r="AF153" s="63"/>
      <c r="AG153" s="6" t="s">
        <v>336</v>
      </c>
      <c r="AH153" s="6" t="s">
        <v>337</v>
      </c>
      <c r="AI153" s="2"/>
      <c r="AJ153" s="3" t="s">
        <v>338</v>
      </c>
      <c r="AK153" s="3" t="s">
        <v>201</v>
      </c>
      <c r="AL153" s="6">
        <v>514</v>
      </c>
      <c r="AM153" s="6" t="s">
        <v>193</v>
      </c>
      <c r="EK153"/>
      <c r="EL153"/>
      <c r="EM153"/>
      <c r="EN153"/>
      <c r="EO153"/>
      <c r="EP153"/>
      <c r="EQ153"/>
      <c r="ER153" s="76">
        <v>62.723404255319146</v>
      </c>
      <c r="ES153">
        <v>118.70333333333333</v>
      </c>
      <c r="ET153">
        <v>1.9633333333333336</v>
      </c>
      <c r="EU153">
        <v>7.7433333333333323</v>
      </c>
      <c r="EV153">
        <v>1.3699999999999999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 s="77">
        <v>0</v>
      </c>
      <c r="FK153" s="77">
        <v>0</v>
      </c>
      <c r="FL153" s="77">
        <v>0</v>
      </c>
      <c r="FM153" s="77">
        <v>0</v>
      </c>
      <c r="FN153" s="77">
        <v>0</v>
      </c>
      <c r="FO153" s="77">
        <v>0</v>
      </c>
      <c r="FP153">
        <v>0</v>
      </c>
      <c r="FQ153">
        <v>0</v>
      </c>
      <c r="FR153" s="77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 s="77">
        <v>0</v>
      </c>
      <c r="GA153">
        <v>0</v>
      </c>
      <c r="GB153">
        <v>0</v>
      </c>
      <c r="GC153">
        <v>0</v>
      </c>
      <c r="GD153"/>
    </row>
    <row r="154" spans="1:186" s="26" customFormat="1" x14ac:dyDescent="0.2">
      <c r="A154" s="68" t="s">
        <v>663</v>
      </c>
      <c r="B154" s="26" t="s">
        <v>138</v>
      </c>
      <c r="C154" s="26" t="s">
        <v>39</v>
      </c>
      <c r="D154" s="26" t="s">
        <v>664</v>
      </c>
      <c r="F154" s="26">
        <v>69</v>
      </c>
      <c r="G154" s="26">
        <v>1</v>
      </c>
      <c r="H154" s="26">
        <v>1</v>
      </c>
      <c r="I154" s="26">
        <v>1</v>
      </c>
      <c r="J154" s="26">
        <v>1</v>
      </c>
      <c r="L154" s="26" t="s">
        <v>665</v>
      </c>
      <c r="M154" s="26" t="s">
        <v>666</v>
      </c>
      <c r="N154" s="26" t="s">
        <v>188</v>
      </c>
      <c r="O154" s="26" t="s">
        <v>667</v>
      </c>
      <c r="P154" s="26" t="s">
        <v>668</v>
      </c>
      <c r="T154" s="39">
        <v>10000</v>
      </c>
      <c r="U154" s="39">
        <v>51.542328728982774</v>
      </c>
      <c r="V154" s="39">
        <v>10000</v>
      </c>
      <c r="W154" s="39">
        <v>56.448863431168313</v>
      </c>
      <c r="X154" s="39">
        <v>2.637358048276868E-2</v>
      </c>
      <c r="Y154" s="39">
        <v>5.1608925068708976E-2</v>
      </c>
      <c r="Z154" s="39"/>
      <c r="AA154" s="39"/>
      <c r="AB154" s="57">
        <v>1.8E-3</v>
      </c>
      <c r="AC154" s="57">
        <v>7.0000000000000001E-3</v>
      </c>
      <c r="AD154" s="58">
        <v>0.13100000000000001</v>
      </c>
      <c r="AE154" s="58">
        <v>2.4</v>
      </c>
      <c r="AF154" s="58">
        <v>2.9000000000000001E-2</v>
      </c>
      <c r="AG154" s="26" t="s">
        <v>82</v>
      </c>
      <c r="AH154" s="26" t="s">
        <v>245</v>
      </c>
      <c r="AI154" s="31">
        <v>69</v>
      </c>
      <c r="AJ154" s="28" t="s">
        <v>39</v>
      </c>
      <c r="AK154" s="28" t="s">
        <v>188</v>
      </c>
      <c r="AL154" s="26">
        <v>250</v>
      </c>
      <c r="AM154" s="26" t="s">
        <v>246</v>
      </c>
      <c r="AO154" s="32">
        <v>0</v>
      </c>
      <c r="AP154" s="32">
        <v>32.67</v>
      </c>
      <c r="AQ154" s="32">
        <v>74.010000000000005</v>
      </c>
      <c r="AR154" s="32">
        <v>55.97</v>
      </c>
      <c r="AS154" s="32">
        <v>128.18</v>
      </c>
      <c r="AT154" s="32">
        <v>29.52</v>
      </c>
      <c r="AU154" s="32">
        <v>13.52</v>
      </c>
      <c r="AV154" s="32">
        <v>62.26</v>
      </c>
      <c r="AW154" s="32">
        <v>63.15</v>
      </c>
      <c r="AX154" s="32">
        <v>70.900000000000006</v>
      </c>
      <c r="AY154" s="32">
        <v>70.900000000000006</v>
      </c>
      <c r="AZ154" s="32">
        <v>37.67</v>
      </c>
      <c r="BA154" s="33">
        <v>50.669477399999998</v>
      </c>
      <c r="BB154" s="33">
        <v>58.309660800000003</v>
      </c>
      <c r="BC154" s="33">
        <v>57.248479999999994</v>
      </c>
      <c r="BD154" s="33">
        <v>57.37021279999999</v>
      </c>
      <c r="BE154" s="33">
        <v>121.2046</v>
      </c>
      <c r="BF154" s="33">
        <v>73.610260799999992</v>
      </c>
      <c r="BG154" s="33">
        <v>48.559087999999988</v>
      </c>
      <c r="BH154" s="33">
        <v>93.30154859999999</v>
      </c>
      <c r="BI154" s="33">
        <v>73.86574619999999</v>
      </c>
      <c r="BJ154" s="33">
        <v>68.2775216</v>
      </c>
      <c r="BK154" s="33">
        <v>74.484195200000002</v>
      </c>
      <c r="BL154" s="33">
        <v>76.330392000000003</v>
      </c>
      <c r="BM154" s="33">
        <v>69.976396800000003</v>
      </c>
      <c r="BN154" s="34">
        <v>22.106878399999999</v>
      </c>
      <c r="BO154" s="34">
        <v>64.401752000000002</v>
      </c>
      <c r="BP154" s="34">
        <v>25.019434400000002</v>
      </c>
      <c r="BQ154" s="34">
        <v>72.539357800000005</v>
      </c>
      <c r="BR154" s="34">
        <v>131.40611659999999</v>
      </c>
      <c r="BS154" s="34">
        <v>23.372244400000003</v>
      </c>
      <c r="BT154" s="34">
        <v>39.746613599999996</v>
      </c>
      <c r="BU154" s="34">
        <v>16.3916784</v>
      </c>
      <c r="BV154" s="34">
        <v>23.095356400000004</v>
      </c>
      <c r="BW154" s="34">
        <v>28.433896600000001</v>
      </c>
      <c r="BX154" s="34">
        <v>20.8221588</v>
      </c>
      <c r="BY154" s="34">
        <v>61.910220799999998</v>
      </c>
      <c r="BZ154" s="34">
        <v>44.275812000000002</v>
      </c>
      <c r="CA154" s="34">
        <v>33.875035599999997</v>
      </c>
      <c r="CB154" s="34">
        <v>38.417070000000002</v>
      </c>
      <c r="CC154" s="34">
        <v>65.723645399999995</v>
      </c>
      <c r="CD154" s="34">
        <v>17.976815999999999</v>
      </c>
      <c r="CE154" s="34">
        <v>70.694260199999988</v>
      </c>
      <c r="CF154" s="34">
        <v>56.524283600000011</v>
      </c>
      <c r="CG154" s="34">
        <v>96.9162496</v>
      </c>
      <c r="CH154" s="34">
        <v>53.118691200000008</v>
      </c>
      <c r="CI154" s="34">
        <v>164.79371700000004</v>
      </c>
      <c r="CJ154" s="34">
        <v>65.527892999999992</v>
      </c>
      <c r="CK154" s="34">
        <v>82.240129199999998</v>
      </c>
      <c r="CL154" s="34">
        <v>22.700936399999996</v>
      </c>
      <c r="CM154" s="34">
        <v>9.158404599999999</v>
      </c>
      <c r="CN154" s="34">
        <v>31.576696200000004</v>
      </c>
      <c r="CO154" s="34">
        <v>5.2094506000000003</v>
      </c>
      <c r="CP154" s="34">
        <v>29.003701800000002</v>
      </c>
      <c r="CQ154" s="34">
        <v>22.417750399999999</v>
      </c>
      <c r="CR154" s="34">
        <v>18.780443999999999</v>
      </c>
      <c r="CS154" s="34">
        <v>12.557595600000001</v>
      </c>
      <c r="CT154" s="35">
        <v>20.053829800000003</v>
      </c>
      <c r="CU154" s="35">
        <v>15.105871999999998</v>
      </c>
      <c r="CV154" s="35">
        <v>29.404318000000004</v>
      </c>
      <c r="CW154" s="35">
        <v>30.269712800000004</v>
      </c>
      <c r="CX154" s="35">
        <v>16.164112799999998</v>
      </c>
      <c r="CY154" s="35">
        <v>17.692337200000001</v>
      </c>
      <c r="CZ154" s="35">
        <v>260.63030879999997</v>
      </c>
      <c r="DA154" s="35">
        <v>36.974275200000001</v>
      </c>
      <c r="DB154" s="35">
        <v>13.667208600000002</v>
      </c>
      <c r="DC154" s="35">
        <v>18.235149400000001</v>
      </c>
      <c r="DD154" s="35">
        <v>0</v>
      </c>
      <c r="DE154" s="35">
        <v>13.138409600000001</v>
      </c>
      <c r="DF154" s="35">
        <v>0</v>
      </c>
      <c r="DG154" s="35">
        <v>111.6747</v>
      </c>
      <c r="DH154" s="35">
        <v>16.399239000000001</v>
      </c>
      <c r="DI154" s="35">
        <v>10.278840000000001</v>
      </c>
      <c r="DJ154" s="35">
        <v>24.135542999999998</v>
      </c>
      <c r="DK154" s="35">
        <v>37.243525600000005</v>
      </c>
      <c r="DL154" s="35">
        <v>57.297094399999999</v>
      </c>
      <c r="DM154" s="35">
        <v>54.728767799999993</v>
      </c>
      <c r="DN154" s="35">
        <v>39.41611859999999</v>
      </c>
      <c r="DO154" s="35">
        <v>23.144160799999998</v>
      </c>
      <c r="DP154" s="35">
        <v>20.019707400000001</v>
      </c>
      <c r="DQ154" s="35">
        <v>12.770580600000001</v>
      </c>
      <c r="DR154" s="35">
        <v>25.526315000000004</v>
      </c>
      <c r="DS154" s="35">
        <v>64.826580000000007</v>
      </c>
      <c r="DT154" s="35">
        <v>34.783414400000005</v>
      </c>
      <c r="DU154" s="35">
        <v>34.043942399999999</v>
      </c>
      <c r="DV154" s="35">
        <v>15.843996799999999</v>
      </c>
      <c r="DW154" s="36">
        <v>110</v>
      </c>
      <c r="DX154" s="36">
        <v>100</v>
      </c>
      <c r="DY154" s="36">
        <v>87</v>
      </c>
      <c r="DZ154" s="36">
        <v>65</v>
      </c>
      <c r="EA154" s="36">
        <v>39</v>
      </c>
      <c r="EB154" s="29">
        <v>46.4</v>
      </c>
      <c r="EC154" s="29">
        <v>61.9</v>
      </c>
      <c r="ED154" s="29">
        <v>39.799999999999997</v>
      </c>
      <c r="EE154" s="29">
        <v>45.4</v>
      </c>
      <c r="EF154" s="29"/>
      <c r="EG154" s="29"/>
      <c r="EH154" s="29"/>
      <c r="EI154" s="29"/>
      <c r="EJ154" s="36"/>
      <c r="EK154" s="108">
        <v>386</v>
      </c>
      <c r="EL154" s="108">
        <v>51.1</v>
      </c>
      <c r="EM154" s="108">
        <v>240</v>
      </c>
      <c r="EN154" s="108">
        <v>282</v>
      </c>
      <c r="EO154" s="108">
        <v>300</v>
      </c>
      <c r="EP154" s="110">
        <v>3000000</v>
      </c>
      <c r="EQ154" s="110"/>
      <c r="FB154" s="26">
        <v>0</v>
      </c>
      <c r="FC154" s="26">
        <v>0.31885714285714284</v>
      </c>
      <c r="FD154" s="26">
        <v>0</v>
      </c>
      <c r="FE154" s="26">
        <v>0</v>
      </c>
      <c r="FF154" s="26">
        <v>0</v>
      </c>
      <c r="FG154" s="26">
        <v>6.9671190476190468</v>
      </c>
      <c r="FH154" s="26">
        <v>0</v>
      </c>
      <c r="FI154" s="26">
        <v>0</v>
      </c>
      <c r="FJ154" s="74">
        <v>0</v>
      </c>
      <c r="FK154" s="74">
        <v>0.54242970210396535</v>
      </c>
      <c r="FL154" s="74">
        <v>0</v>
      </c>
      <c r="FM154" s="74">
        <v>0</v>
      </c>
      <c r="FN154" s="74">
        <v>0</v>
      </c>
      <c r="FO154" s="74">
        <v>0.56652777777777774</v>
      </c>
      <c r="FP154" s="26">
        <v>0</v>
      </c>
      <c r="FQ154" s="26">
        <v>0</v>
      </c>
      <c r="FR154" s="74">
        <v>0</v>
      </c>
      <c r="FS154" s="26">
        <v>0.76148148148148131</v>
      </c>
      <c r="FT154" s="26">
        <v>0</v>
      </c>
      <c r="FU154" s="26">
        <v>0</v>
      </c>
      <c r="FV154" s="26">
        <v>0</v>
      </c>
      <c r="FW154" s="26">
        <v>0</v>
      </c>
      <c r="FX154" s="26">
        <v>0</v>
      </c>
      <c r="FY154" s="26">
        <v>0</v>
      </c>
      <c r="FZ154" s="74">
        <v>0</v>
      </c>
      <c r="GA154" s="26">
        <v>0</v>
      </c>
      <c r="GB154" s="26">
        <v>0</v>
      </c>
      <c r="GC154" s="26">
        <v>0</v>
      </c>
      <c r="GD154"/>
    </row>
    <row r="155" spans="1:186" s="6" customFormat="1" x14ac:dyDescent="0.2">
      <c r="A155" s="60" t="s">
        <v>831</v>
      </c>
      <c r="B155" s="6" t="s">
        <v>236</v>
      </c>
      <c r="C155" s="6" t="s">
        <v>238</v>
      </c>
      <c r="D155" s="6" t="s">
        <v>664</v>
      </c>
      <c r="F155" s="6">
        <v>300659</v>
      </c>
      <c r="H155" s="6">
        <v>1</v>
      </c>
      <c r="I155" s="6">
        <v>1</v>
      </c>
      <c r="J155" s="6">
        <v>1</v>
      </c>
      <c r="L155" s="6" t="s">
        <v>237</v>
      </c>
      <c r="M155" s="6" t="s">
        <v>832</v>
      </c>
      <c r="N155" s="6" t="s">
        <v>197</v>
      </c>
      <c r="O155" s="6" t="s">
        <v>671</v>
      </c>
      <c r="P155" s="6" t="s">
        <v>672</v>
      </c>
      <c r="T155">
        <v>29.831689858568708</v>
      </c>
      <c r="U155">
        <v>10.145842370176533</v>
      </c>
      <c r="V155">
        <v>45.783973419150904</v>
      </c>
      <c r="W155">
        <v>23.703950018952195</v>
      </c>
      <c r="X155">
        <v>0.15832150318631807</v>
      </c>
      <c r="Y155">
        <v>0.53608728116194948</v>
      </c>
      <c r="Z155" s="64">
        <v>82</v>
      </c>
      <c r="AA155" s="64"/>
      <c r="AB155" s="61"/>
      <c r="AC155" s="61"/>
      <c r="AD155" s="62"/>
      <c r="AE155" s="63"/>
      <c r="AF155" s="63"/>
      <c r="AG155" s="6" t="s">
        <v>236</v>
      </c>
      <c r="AH155" s="6" t="s">
        <v>237</v>
      </c>
      <c r="AI155" s="2"/>
      <c r="AJ155" s="3" t="s">
        <v>238</v>
      </c>
      <c r="AK155" s="3" t="s">
        <v>197</v>
      </c>
      <c r="AL155" s="6">
        <v>246</v>
      </c>
      <c r="EK155"/>
      <c r="EL155"/>
      <c r="EM155"/>
      <c r="EN155"/>
      <c r="EO155"/>
      <c r="EP155"/>
      <c r="EQ155"/>
      <c r="EW155" s="6">
        <v>61.896666666666668</v>
      </c>
      <c r="EX155" s="6">
        <v>118.08999999999999</v>
      </c>
      <c r="EY155" s="65">
        <v>89.923333333333332</v>
      </c>
      <c r="EZ155" s="6">
        <v>40.15</v>
      </c>
      <c r="FA155" s="6">
        <v>349.97666666666669</v>
      </c>
      <c r="GD155"/>
    </row>
    <row r="156" spans="1:186" s="6" customFormat="1" x14ac:dyDescent="0.2">
      <c r="A156" s="60" t="s">
        <v>964</v>
      </c>
      <c r="B156" s="6" t="s">
        <v>592</v>
      </c>
      <c r="C156" s="6" t="s">
        <v>79</v>
      </c>
      <c r="D156" s="6" t="s">
        <v>876</v>
      </c>
      <c r="H156" s="6">
        <v>1</v>
      </c>
      <c r="I156" s="6">
        <v>1</v>
      </c>
      <c r="L156" s="6" t="s">
        <v>543</v>
      </c>
      <c r="M156" s="6" t="s">
        <v>965</v>
      </c>
      <c r="N156" s="6" t="s">
        <v>192</v>
      </c>
      <c r="O156" s="6" t="s">
        <v>671</v>
      </c>
      <c r="P156" s="6" t="s">
        <v>672</v>
      </c>
      <c r="T156">
        <v>10000</v>
      </c>
      <c r="U156">
        <v>5.0661508358021088</v>
      </c>
      <c r="V156">
        <v>10000</v>
      </c>
      <c r="W156">
        <v>106.82632324615358</v>
      </c>
      <c r="X156">
        <v>0.18015039331716112</v>
      </c>
      <c r="Y156">
        <v>0.33406993114854183</v>
      </c>
      <c r="Z156"/>
      <c r="AA156"/>
      <c r="AB156" s="61"/>
      <c r="AC156" s="61"/>
      <c r="AD156" s="62"/>
      <c r="AE156" s="63"/>
      <c r="AF156" s="63"/>
      <c r="AG156" s="6" t="s">
        <v>78</v>
      </c>
      <c r="AH156" s="6" t="s">
        <v>545</v>
      </c>
      <c r="AI156" s="4">
        <v>301157</v>
      </c>
      <c r="AJ156" s="3" t="s">
        <v>79</v>
      </c>
      <c r="AK156" s="3" t="s">
        <v>192</v>
      </c>
      <c r="AL156" s="6">
        <v>3273</v>
      </c>
      <c r="AM156" s="6" t="s">
        <v>193</v>
      </c>
      <c r="CT156" s="15">
        <v>0</v>
      </c>
      <c r="CU156" s="15">
        <v>0</v>
      </c>
      <c r="CV156" s="15">
        <v>0</v>
      </c>
      <c r="CW156" s="15">
        <v>0</v>
      </c>
      <c r="CX156" s="15">
        <v>0</v>
      </c>
      <c r="CY156" s="15">
        <v>0</v>
      </c>
      <c r="CZ156" s="15">
        <v>0</v>
      </c>
      <c r="DA156" s="15">
        <v>0</v>
      </c>
      <c r="DB156" s="15">
        <v>0</v>
      </c>
      <c r="DC156" s="15">
        <v>0</v>
      </c>
      <c r="DD156" s="15">
        <v>0</v>
      </c>
      <c r="DE156" s="15">
        <v>0</v>
      </c>
      <c r="DF156" s="15">
        <v>0</v>
      </c>
      <c r="DG156" s="15">
        <v>0</v>
      </c>
      <c r="DH156" s="15">
        <v>0</v>
      </c>
      <c r="DI156" s="15">
        <v>0</v>
      </c>
      <c r="DJ156" s="15">
        <v>0</v>
      </c>
      <c r="DK156" s="15">
        <v>130</v>
      </c>
      <c r="DL156" s="15">
        <v>0</v>
      </c>
      <c r="DM156" s="15">
        <v>0</v>
      </c>
      <c r="DN156" s="16">
        <v>51</v>
      </c>
      <c r="DO156" s="16">
        <v>0</v>
      </c>
      <c r="DP156" s="16">
        <v>0</v>
      </c>
      <c r="DQ156" s="16">
        <v>0</v>
      </c>
      <c r="DS156" s="16">
        <v>0</v>
      </c>
      <c r="DT156" s="16">
        <v>0</v>
      </c>
      <c r="DU156" s="16">
        <v>0</v>
      </c>
      <c r="DV156" s="16">
        <v>0</v>
      </c>
      <c r="DW156" s="15"/>
      <c r="DX156" s="15"/>
      <c r="DY156" s="15"/>
      <c r="DZ156" s="15"/>
      <c r="EA156" s="15"/>
      <c r="EB156" s="15"/>
      <c r="EC156" s="15"/>
      <c r="ED156" s="15"/>
      <c r="EE156" s="15"/>
      <c r="EF156" s="15"/>
      <c r="EG156" s="15"/>
      <c r="EH156" s="15"/>
      <c r="EI156" s="15"/>
      <c r="EJ156" s="15"/>
      <c r="EK156"/>
      <c r="EL156"/>
      <c r="EM156"/>
      <c r="EN156"/>
      <c r="EO156"/>
      <c r="EP156"/>
      <c r="EQ156"/>
      <c r="ER156" s="67">
        <v>1290.43</v>
      </c>
      <c r="ES156" s="6">
        <v>731.11333333333334</v>
      </c>
      <c r="ET156" s="6">
        <v>2082.41</v>
      </c>
      <c r="EU156" s="6">
        <v>549.40666666666664</v>
      </c>
      <c r="EV156" s="6">
        <v>948.42000000000007</v>
      </c>
      <c r="FB156" s="75"/>
      <c r="GD156"/>
    </row>
    <row r="157" spans="1:186" s="26" customFormat="1" x14ac:dyDescent="0.2">
      <c r="A157" s="68" t="s">
        <v>720</v>
      </c>
      <c r="B157" s="26" t="s">
        <v>126</v>
      </c>
      <c r="C157" s="26" t="s">
        <v>36</v>
      </c>
      <c r="D157" s="26" t="s">
        <v>255</v>
      </c>
      <c r="F157" s="26">
        <v>595</v>
      </c>
      <c r="G157" s="26">
        <v>1</v>
      </c>
      <c r="H157" s="26">
        <v>1</v>
      </c>
      <c r="I157" s="26">
        <v>1</v>
      </c>
      <c r="J157" s="26">
        <v>1</v>
      </c>
      <c r="L157" s="26" t="s">
        <v>721</v>
      </c>
      <c r="M157" s="26" t="s">
        <v>722</v>
      </c>
      <c r="N157" s="26" t="s">
        <v>427</v>
      </c>
      <c r="O157" s="26" t="s">
        <v>678</v>
      </c>
      <c r="P157" s="26" t="s">
        <v>679</v>
      </c>
      <c r="S157" s="26">
        <v>1</v>
      </c>
      <c r="T157" s="39">
        <v>73.436635936573296</v>
      </c>
      <c r="U157" s="39">
        <v>65.874201411513454</v>
      </c>
      <c r="V157" s="39">
        <v>619.71988555908661</v>
      </c>
      <c r="W157" s="39">
        <v>195.95023743652766</v>
      </c>
      <c r="X157" s="39">
        <v>3.5957763427250412E-2</v>
      </c>
      <c r="Y157" s="39">
        <v>5.7660374859611868E-2</v>
      </c>
      <c r="Z157" s="69">
        <v>193</v>
      </c>
      <c r="AA157" s="69"/>
      <c r="AB157" s="59">
        <v>3.0000000000000001E-3</v>
      </c>
      <c r="AC157" s="57">
        <v>0.02</v>
      </c>
      <c r="AD157" s="58">
        <v>3.4E-5</v>
      </c>
      <c r="AE157" s="58">
        <v>0.12</v>
      </c>
      <c r="AF157" s="58">
        <v>0.12</v>
      </c>
      <c r="AG157" s="26" t="s">
        <v>35</v>
      </c>
      <c r="AH157" s="26" t="s">
        <v>509</v>
      </c>
      <c r="AI157" s="31">
        <v>595</v>
      </c>
      <c r="AJ157" s="28" t="s">
        <v>36</v>
      </c>
      <c r="AK157" s="28" t="s">
        <v>427</v>
      </c>
      <c r="AL157" s="26">
        <v>2323</v>
      </c>
      <c r="AM157" s="26" t="s">
        <v>246</v>
      </c>
      <c r="AO157" s="32">
        <v>0</v>
      </c>
      <c r="AP157" s="32">
        <v>21.31</v>
      </c>
      <c r="AQ157" s="32">
        <v>43.93</v>
      </c>
      <c r="AR157" s="32">
        <v>30.47</v>
      </c>
      <c r="AS157" s="32">
        <v>102.41</v>
      </c>
      <c r="AT157" s="32">
        <v>0</v>
      </c>
      <c r="AU157" s="32">
        <v>0</v>
      </c>
      <c r="AV157" s="32">
        <v>51.83</v>
      </c>
      <c r="AW157" s="32">
        <v>54.15</v>
      </c>
      <c r="AX157" s="32">
        <v>65.56</v>
      </c>
      <c r="AY157" s="32">
        <v>65.56</v>
      </c>
      <c r="AZ157" s="32">
        <v>0</v>
      </c>
      <c r="BA157" s="33">
        <v>36.446466200000003</v>
      </c>
      <c r="BB157" s="33">
        <v>54.5997792</v>
      </c>
      <c r="BC157" s="33">
        <v>31.014031199999998</v>
      </c>
      <c r="BD157" s="33">
        <v>31.869422399999994</v>
      </c>
      <c r="BE157" s="33">
        <v>83.283939199999992</v>
      </c>
      <c r="BF157" s="33">
        <v>33.210275999999993</v>
      </c>
      <c r="BG157" s="33">
        <v>47.075625999999993</v>
      </c>
      <c r="BH157" s="33">
        <v>66.062139999999999</v>
      </c>
      <c r="BI157" s="33">
        <v>52.330604399999991</v>
      </c>
      <c r="BJ157" s="33">
        <v>67.704723600000008</v>
      </c>
      <c r="BK157" s="33">
        <v>72.948163199999996</v>
      </c>
      <c r="BL157" s="33">
        <v>52.889904000000001</v>
      </c>
      <c r="BM157" s="33">
        <v>29.258726399999997</v>
      </c>
      <c r="BN157" s="34">
        <v>17.524125000000002</v>
      </c>
      <c r="BO157" s="34">
        <v>98.770493599999995</v>
      </c>
      <c r="BP157" s="34">
        <v>37.219982399999999</v>
      </c>
      <c r="BQ157" s="34">
        <v>210.61900660000001</v>
      </c>
      <c r="BR157" s="34">
        <v>302.81923539999997</v>
      </c>
      <c r="BS157" s="34">
        <v>40.784889200000002</v>
      </c>
      <c r="BT157" s="34">
        <v>70.977395999999985</v>
      </c>
      <c r="BU157" s="34">
        <v>24.169449599999997</v>
      </c>
      <c r="BV157" s="34">
        <v>24.641108600000003</v>
      </c>
      <c r="BW157" s="34">
        <v>61.839306399999998</v>
      </c>
      <c r="BX157" s="34">
        <v>25.004172599999997</v>
      </c>
      <c r="BY157" s="34">
        <v>154.67965120000002</v>
      </c>
      <c r="BZ157" s="34">
        <v>81.882561600000002</v>
      </c>
      <c r="CA157" s="34">
        <v>64.132517200000009</v>
      </c>
      <c r="CB157" s="34">
        <v>38.141330000000004</v>
      </c>
      <c r="CC157" s="34">
        <v>186.13018960000002</v>
      </c>
      <c r="CD157" s="34">
        <v>0</v>
      </c>
      <c r="CE157" s="34">
        <v>83.433693599999998</v>
      </c>
      <c r="CF157" s="34">
        <v>59.031554400000005</v>
      </c>
      <c r="CG157" s="34">
        <v>219.00361599999999</v>
      </c>
      <c r="CH157" s="34">
        <v>63.981110400000006</v>
      </c>
      <c r="CI157" s="34">
        <v>174.19403200000002</v>
      </c>
      <c r="CJ157" s="34">
        <v>73.244611800000001</v>
      </c>
      <c r="CK157" s="34">
        <v>89.995831799999976</v>
      </c>
      <c r="CL157" s="34">
        <v>10.036982399999999</v>
      </c>
      <c r="CM157" s="34">
        <v>8.7453362000000006</v>
      </c>
      <c r="CN157" s="34">
        <v>9.9704262000000003</v>
      </c>
      <c r="CO157" s="34">
        <v>6.5049062000000006</v>
      </c>
      <c r="CP157" s="34">
        <v>16.367002199999998</v>
      </c>
      <c r="CQ157" s="34">
        <v>6.8469343999999994</v>
      </c>
      <c r="CR157" s="34">
        <v>7.6711139999999993</v>
      </c>
      <c r="CS157" s="34">
        <v>6.4378266000000011</v>
      </c>
      <c r="CT157" s="35">
        <v>31.194500200000004</v>
      </c>
      <c r="CU157" s="35">
        <v>22.48584</v>
      </c>
      <c r="CV157" s="35">
        <v>19.218356400000001</v>
      </c>
      <c r="CW157" s="35">
        <v>21.1544828</v>
      </c>
      <c r="CX157" s="35">
        <v>32.358402999999996</v>
      </c>
      <c r="CY157" s="35">
        <v>14.780667599999999</v>
      </c>
      <c r="CZ157" s="35">
        <v>18.011037599999998</v>
      </c>
      <c r="DA157" s="35">
        <v>0</v>
      </c>
      <c r="DB157" s="35">
        <v>0</v>
      </c>
      <c r="DC157" s="35">
        <v>75.6595114</v>
      </c>
      <c r="DD157" s="35">
        <v>175.93761359999999</v>
      </c>
      <c r="DE157" s="35">
        <v>27.148265599999998</v>
      </c>
      <c r="DF157" s="35">
        <v>51.494906400000005</v>
      </c>
      <c r="DG157" s="35">
        <v>117.87074000000001</v>
      </c>
      <c r="DH157" s="35">
        <v>13.4853828</v>
      </c>
      <c r="DI157" s="35">
        <v>24.317436000000001</v>
      </c>
      <c r="DJ157" s="35">
        <v>54.717072000000002</v>
      </c>
      <c r="DK157" s="35">
        <v>55.067286400000008</v>
      </c>
      <c r="DL157" s="35">
        <v>27.3532224</v>
      </c>
      <c r="DM157" s="35">
        <v>46.455503399999998</v>
      </c>
      <c r="DN157" s="35">
        <v>55.598108999999994</v>
      </c>
      <c r="DO157" s="35">
        <v>17.980805799999999</v>
      </c>
      <c r="DP157" s="35">
        <v>17.180927400000002</v>
      </c>
      <c r="DQ157" s="35">
        <v>45.8116536</v>
      </c>
      <c r="DR157" s="35">
        <v>110.29120960000002</v>
      </c>
      <c r="DS157" s="35">
        <v>32.607120000000002</v>
      </c>
      <c r="DT157" s="35">
        <v>114.76334520000002</v>
      </c>
      <c r="DU157" s="35">
        <v>26.3248128</v>
      </c>
      <c r="DV157" s="35">
        <v>10.9059192</v>
      </c>
      <c r="DW157" s="36">
        <v>120</v>
      </c>
      <c r="DX157" s="36">
        <v>100</v>
      </c>
      <c r="DY157" s="36">
        <v>62</v>
      </c>
      <c r="DZ157" s="36">
        <v>53</v>
      </c>
      <c r="EA157" s="36">
        <v>37</v>
      </c>
      <c r="EB157" s="29">
        <v>40.9</v>
      </c>
      <c r="EC157" s="29">
        <v>36.799999999999997</v>
      </c>
      <c r="ED157" s="29">
        <v>30.5</v>
      </c>
      <c r="EE157" s="29">
        <v>32.1</v>
      </c>
      <c r="EF157" s="30">
        <v>1969</v>
      </c>
      <c r="EG157" s="30">
        <v>75.2</v>
      </c>
      <c r="EH157" s="30">
        <v>75.2</v>
      </c>
      <c r="EI157" s="26">
        <v>0</v>
      </c>
      <c r="EJ157" s="26">
        <v>0</v>
      </c>
      <c r="EK157" s="108">
        <v>243</v>
      </c>
      <c r="EL157" s="108">
        <v>71</v>
      </c>
      <c r="EM157" s="108">
        <v>223</v>
      </c>
      <c r="EN157" s="108">
        <v>278</v>
      </c>
      <c r="EO157" s="108">
        <v>287</v>
      </c>
      <c r="EP157" s="111">
        <v>10000000</v>
      </c>
      <c r="EQ157" s="111"/>
      <c r="ER157" s="73">
        <v>207.23333333333335</v>
      </c>
      <c r="ES157" s="26">
        <v>892.56666666666661</v>
      </c>
      <c r="ET157" s="26">
        <v>151.84833333333333</v>
      </c>
      <c r="EU157" s="26">
        <v>4993.7566666666671</v>
      </c>
      <c r="EV157" s="26">
        <v>214.53666666666666</v>
      </c>
      <c r="FB157" s="26">
        <v>0</v>
      </c>
      <c r="FC157" s="26">
        <v>0.10078182306878308</v>
      </c>
      <c r="FD157" s="26">
        <v>5.9285714285714289E-3</v>
      </c>
      <c r="FE157" s="26">
        <v>0</v>
      </c>
      <c r="FF157" s="26">
        <v>0</v>
      </c>
      <c r="FG157" s="26">
        <v>10.040499855238096</v>
      </c>
      <c r="FH157" s="26">
        <v>0</v>
      </c>
      <c r="FI157" s="26">
        <v>0</v>
      </c>
      <c r="FJ157" s="74">
        <v>0</v>
      </c>
      <c r="FK157" s="74">
        <v>0.101616082010898</v>
      </c>
      <c r="FL157" s="74">
        <v>0</v>
      </c>
      <c r="FM157" s="74">
        <v>0</v>
      </c>
      <c r="FN157" s="74">
        <v>0</v>
      </c>
      <c r="FO157" s="74">
        <v>8.1153703703703714E-2</v>
      </c>
      <c r="FP157" s="26">
        <v>0</v>
      </c>
      <c r="FQ157" s="26">
        <v>0</v>
      </c>
      <c r="FR157" s="74">
        <v>0</v>
      </c>
      <c r="FS157" s="26">
        <v>0.39399358024691356</v>
      </c>
      <c r="FT157" s="26">
        <v>0</v>
      </c>
      <c r="FU157" s="26">
        <v>0</v>
      </c>
      <c r="FV157" s="26">
        <v>0</v>
      </c>
      <c r="FW157" s="26">
        <v>7.4712037037037021E-2</v>
      </c>
      <c r="FX157" s="26">
        <v>0</v>
      </c>
      <c r="FY157" s="26">
        <v>0</v>
      </c>
      <c r="FZ157" s="74">
        <v>0</v>
      </c>
      <c r="GA157" s="26">
        <v>3.0372222222222224E-2</v>
      </c>
      <c r="GB157" s="26">
        <v>0</v>
      </c>
      <c r="GC157" s="26">
        <v>0</v>
      </c>
      <c r="GD157"/>
    </row>
    <row r="158" spans="1:186" s="6" customFormat="1" x14ac:dyDescent="0.2">
      <c r="A158" s="60" t="s">
        <v>794</v>
      </c>
      <c r="B158" s="6" t="s">
        <v>795</v>
      </c>
      <c r="C158" s="6" t="s">
        <v>528</v>
      </c>
      <c r="D158" s="6" t="s">
        <v>782</v>
      </c>
      <c r="F158" s="6">
        <v>680</v>
      </c>
      <c r="H158" s="6">
        <v>1</v>
      </c>
      <c r="I158" s="6">
        <v>1</v>
      </c>
      <c r="J158" s="6">
        <v>1</v>
      </c>
      <c r="L158" s="6" t="s">
        <v>796</v>
      </c>
      <c r="M158" s="6" t="s">
        <v>797</v>
      </c>
      <c r="N158" s="6" t="s">
        <v>270</v>
      </c>
      <c r="O158" s="6" t="s">
        <v>667</v>
      </c>
      <c r="P158" s="6" t="s">
        <v>668</v>
      </c>
      <c r="S158" s="6">
        <v>1</v>
      </c>
      <c r="T158">
        <v>10000</v>
      </c>
      <c r="U158">
        <v>10.368595886015996</v>
      </c>
      <c r="V158">
        <v>10000</v>
      </c>
      <c r="W158">
        <v>10000</v>
      </c>
      <c r="X158">
        <v>0.10806434118700746</v>
      </c>
      <c r="Y158">
        <v>0.19479051543196749</v>
      </c>
      <c r="Z158" s="64">
        <v>51</v>
      </c>
      <c r="AA158" s="64"/>
      <c r="AB158" s="61"/>
      <c r="AC158" s="61"/>
      <c r="AD158" s="62"/>
      <c r="AE158" s="63"/>
      <c r="AF158" s="63"/>
      <c r="AG158" s="6" t="s">
        <v>526</v>
      </c>
      <c r="AH158" s="6" t="s">
        <v>527</v>
      </c>
      <c r="AI158" s="2"/>
      <c r="AJ158" s="3" t="s">
        <v>528</v>
      </c>
      <c r="AK158" s="3" t="s">
        <v>270</v>
      </c>
      <c r="AL158" s="6">
        <v>2751</v>
      </c>
      <c r="AM158" s="6" t="s">
        <v>193</v>
      </c>
      <c r="EK158"/>
      <c r="EL158"/>
      <c r="EM158"/>
      <c r="EN158"/>
      <c r="EO158"/>
      <c r="EP158"/>
      <c r="EQ158"/>
      <c r="FB158" s="6">
        <v>0</v>
      </c>
      <c r="FC158" s="6">
        <v>0</v>
      </c>
      <c r="FD158" s="6">
        <v>0</v>
      </c>
      <c r="FE158" s="6">
        <v>0</v>
      </c>
      <c r="FF158" s="6">
        <v>0</v>
      </c>
      <c r="FG158" s="6">
        <v>0</v>
      </c>
      <c r="FH158" s="6">
        <v>0</v>
      </c>
      <c r="FI158" s="6">
        <v>0</v>
      </c>
      <c r="FJ158" s="66">
        <v>0</v>
      </c>
      <c r="FK158" s="66">
        <v>0</v>
      </c>
      <c r="FL158" s="66">
        <v>0</v>
      </c>
      <c r="FM158" s="66">
        <v>0</v>
      </c>
      <c r="FN158" s="66">
        <v>0</v>
      </c>
      <c r="FO158" s="66">
        <v>0</v>
      </c>
      <c r="FP158" s="6">
        <v>0</v>
      </c>
      <c r="FQ158" s="6">
        <v>0</v>
      </c>
      <c r="FR158" s="66">
        <v>0</v>
      </c>
      <c r="FS158" s="6">
        <v>0</v>
      </c>
      <c r="FT158" s="6">
        <v>0</v>
      </c>
      <c r="FU158" s="6">
        <v>0</v>
      </c>
      <c r="FV158" s="6">
        <v>0</v>
      </c>
      <c r="FW158" s="6">
        <v>0</v>
      </c>
      <c r="FX158" s="6">
        <v>0</v>
      </c>
      <c r="FY158" s="6">
        <v>0</v>
      </c>
      <c r="FZ158" s="66">
        <v>0</v>
      </c>
      <c r="GA158" s="6">
        <v>0</v>
      </c>
      <c r="GB158" s="6">
        <v>0</v>
      </c>
      <c r="GC158" s="6">
        <v>0</v>
      </c>
      <c r="GD158"/>
    </row>
    <row r="159" spans="1:186" s="6" customFormat="1" x14ac:dyDescent="0.2">
      <c r="A159" s="60" t="s">
        <v>993</v>
      </c>
      <c r="B159" s="6" t="s">
        <v>994</v>
      </c>
      <c r="C159" s="6" t="s">
        <v>373</v>
      </c>
      <c r="D159" s="6" t="s">
        <v>876</v>
      </c>
      <c r="I159" s="6">
        <v>1</v>
      </c>
      <c r="L159" s="6" t="s">
        <v>368</v>
      </c>
      <c r="M159" s="6" t="s">
        <v>995</v>
      </c>
      <c r="N159" s="6" t="s">
        <v>270</v>
      </c>
      <c r="O159" s="6" t="s">
        <v>671</v>
      </c>
      <c r="P159" s="6" t="s">
        <v>672</v>
      </c>
      <c r="T159">
        <v>1.1899998482615861</v>
      </c>
      <c r="U159">
        <v>0.90929386402026879</v>
      </c>
      <c r="V159">
        <v>1.7076381895499901</v>
      </c>
      <c r="W159">
        <v>1.6237357502122733</v>
      </c>
      <c r="X159">
        <v>0.95497425659455615</v>
      </c>
      <c r="Y159">
        <v>0.96035614539978054</v>
      </c>
      <c r="Z159"/>
      <c r="AA159"/>
      <c r="AB159" s="61"/>
      <c r="AC159" s="61"/>
      <c r="AD159" s="62"/>
      <c r="AE159" s="63"/>
      <c r="AF159" s="63"/>
      <c r="AG159" s="6" t="s">
        <v>371</v>
      </c>
      <c r="AH159" s="6" t="s">
        <v>372</v>
      </c>
      <c r="AI159" s="2"/>
      <c r="AJ159" s="3" t="s">
        <v>373</v>
      </c>
      <c r="AK159" s="3" t="s">
        <v>270</v>
      </c>
      <c r="AL159" s="6">
        <v>674</v>
      </c>
      <c r="EK159"/>
      <c r="EL159"/>
      <c r="EM159"/>
      <c r="EN159"/>
      <c r="EO159"/>
      <c r="EP159"/>
      <c r="EQ159"/>
      <c r="GD159"/>
    </row>
    <row r="160" spans="1:186" s="26" customFormat="1" x14ac:dyDescent="0.2">
      <c r="A160" s="68" t="s">
        <v>669</v>
      </c>
      <c r="B160" s="26" t="s">
        <v>120</v>
      </c>
      <c r="C160" s="26" t="s">
        <v>40</v>
      </c>
      <c r="D160" s="26" t="s">
        <v>664</v>
      </c>
      <c r="F160" s="26">
        <v>146</v>
      </c>
      <c r="G160" s="26">
        <v>1</v>
      </c>
      <c r="H160" s="26">
        <v>1</v>
      </c>
      <c r="I160" s="26">
        <v>1</v>
      </c>
      <c r="J160" s="26">
        <v>1</v>
      </c>
      <c r="L160" s="26" t="s">
        <v>287</v>
      </c>
      <c r="M160" s="26" t="s">
        <v>670</v>
      </c>
      <c r="N160" s="26" t="s">
        <v>188</v>
      </c>
      <c r="O160" s="26" t="s">
        <v>671</v>
      </c>
      <c r="P160" s="26" t="s">
        <v>672</v>
      </c>
      <c r="T160" s="39">
        <v>10000</v>
      </c>
      <c r="U160" s="39">
        <v>10000</v>
      </c>
      <c r="V160" s="39">
        <v>10000</v>
      </c>
      <c r="W160" s="39">
        <v>10000</v>
      </c>
      <c r="X160" s="39">
        <v>2.9682446471419596E-2</v>
      </c>
      <c r="Y160" s="39">
        <v>4.4480056648658936E-2</v>
      </c>
      <c r="Z160" s="39"/>
      <c r="AA160" s="39"/>
      <c r="AB160" s="57">
        <v>8.5000000000000006E-3</v>
      </c>
      <c r="AC160" s="57">
        <v>3.9199999999999999E-3</v>
      </c>
      <c r="AD160" s="58">
        <v>0.13600000000000001</v>
      </c>
      <c r="AE160" s="58">
        <v>2.2999999999999998</v>
      </c>
      <c r="AF160" s="58">
        <v>0.28299999999999997</v>
      </c>
      <c r="AG160" s="26" t="s">
        <v>120</v>
      </c>
      <c r="AH160" s="26" t="s">
        <v>287</v>
      </c>
      <c r="AI160" s="27">
        <v>146</v>
      </c>
      <c r="AJ160" s="28" t="s">
        <v>40</v>
      </c>
      <c r="AK160" s="28" t="s">
        <v>188</v>
      </c>
      <c r="AL160" s="26">
        <v>409</v>
      </c>
      <c r="AM160" s="26" t="s">
        <v>246</v>
      </c>
      <c r="AO160" s="32">
        <v>0</v>
      </c>
      <c r="AP160" s="32">
        <v>48.72</v>
      </c>
      <c r="AQ160" s="32">
        <v>94.07</v>
      </c>
      <c r="AR160" s="32">
        <v>58.06</v>
      </c>
      <c r="AS160" s="32">
        <v>139.29</v>
      </c>
      <c r="AT160" s="32">
        <v>39.79</v>
      </c>
      <c r="AU160" s="32">
        <v>17.48</v>
      </c>
      <c r="AV160" s="32">
        <v>66.150000000000006</v>
      </c>
      <c r="AW160" s="32">
        <v>67.77</v>
      </c>
      <c r="AX160" s="32">
        <v>82.48</v>
      </c>
      <c r="AY160" s="32">
        <v>82.48</v>
      </c>
      <c r="AZ160" s="32">
        <v>56.65</v>
      </c>
      <c r="BA160" s="33">
        <v>74.813558</v>
      </c>
      <c r="BB160" s="33">
        <v>88.43228640000001</v>
      </c>
      <c r="BC160" s="33">
        <v>74.116811200000001</v>
      </c>
      <c r="BD160" s="33">
        <v>65.655999999999992</v>
      </c>
      <c r="BE160" s="33">
        <v>165.6637576</v>
      </c>
      <c r="BF160" s="33">
        <v>110.08539479999999</v>
      </c>
      <c r="BG160" s="33">
        <v>69.942965999999998</v>
      </c>
      <c r="BH160" s="33">
        <v>124.45337519999998</v>
      </c>
      <c r="BI160" s="33">
        <v>95.974412399999991</v>
      </c>
      <c r="BJ160" s="33">
        <v>85.306469200000009</v>
      </c>
      <c r="BK160" s="33">
        <v>95.087059199999999</v>
      </c>
      <c r="BL160" s="33">
        <v>101.173908</v>
      </c>
      <c r="BM160" s="33">
        <v>91.958860799999997</v>
      </c>
      <c r="BN160" s="34">
        <v>30.945268200000005</v>
      </c>
      <c r="BO160" s="34">
        <v>106.99512199999998</v>
      </c>
      <c r="BP160" s="34">
        <v>32.259977600000006</v>
      </c>
      <c r="BQ160" s="34">
        <v>119.44883360000001</v>
      </c>
      <c r="BR160" s="34">
        <v>216.96178899999998</v>
      </c>
      <c r="BS160" s="34">
        <v>31.4761524</v>
      </c>
      <c r="BT160" s="34">
        <v>58.059837599999994</v>
      </c>
      <c r="BU160" s="34">
        <v>23.643878399999998</v>
      </c>
      <c r="BV160" s="34">
        <v>39.132927400000007</v>
      </c>
      <c r="BW160" s="34">
        <v>40.283547200000001</v>
      </c>
      <c r="BX160" s="34">
        <v>30.287156999999997</v>
      </c>
      <c r="BY160" s="34">
        <v>98.1273664</v>
      </c>
      <c r="BZ160" s="34">
        <v>49.685680800000007</v>
      </c>
      <c r="CA160" s="34">
        <v>41.647361199999999</v>
      </c>
      <c r="CB160" s="34">
        <v>51.040285000000004</v>
      </c>
      <c r="CC160" s="34">
        <v>104.11991800000001</v>
      </c>
      <c r="CD160" s="34">
        <v>27.246648</v>
      </c>
      <c r="CE160" s="34">
        <v>97.363912200000001</v>
      </c>
      <c r="CF160" s="34">
        <v>90.869260000000011</v>
      </c>
      <c r="CG160" s="34">
        <v>148.6715648</v>
      </c>
      <c r="CH160" s="34">
        <v>72.627206399999992</v>
      </c>
      <c r="CI160" s="34">
        <v>210.85256700000005</v>
      </c>
      <c r="CJ160" s="34">
        <v>77.606002799999999</v>
      </c>
      <c r="CK160" s="34">
        <v>90.507015599999988</v>
      </c>
      <c r="CL160" s="34">
        <v>35.778613200000002</v>
      </c>
      <c r="CM160" s="34">
        <v>10.400692400000001</v>
      </c>
      <c r="CN160" s="34">
        <v>46.4676744</v>
      </c>
      <c r="CO160" s="34">
        <v>6.357555800000001</v>
      </c>
      <c r="CP160" s="34">
        <v>41.107881399999997</v>
      </c>
      <c r="CQ160" s="34">
        <v>35.966774399999998</v>
      </c>
      <c r="CR160" s="34">
        <v>29.397828000000001</v>
      </c>
      <c r="CS160" s="34">
        <v>15.695574600000002</v>
      </c>
      <c r="CT160" s="35">
        <v>35.618368200000006</v>
      </c>
      <c r="CU160" s="35">
        <v>10.0696204</v>
      </c>
      <c r="CV160" s="35">
        <v>34.6036796</v>
      </c>
      <c r="CW160" s="35">
        <v>37.361719199999996</v>
      </c>
      <c r="CX160" s="35">
        <v>32.9235434</v>
      </c>
      <c r="CY160" s="35">
        <v>17.674408199999998</v>
      </c>
      <c r="CZ160" s="35">
        <v>320.47777919999999</v>
      </c>
      <c r="DA160" s="35">
        <v>45.502862399999998</v>
      </c>
      <c r="DB160" s="35">
        <v>21.2642828</v>
      </c>
      <c r="DC160" s="35">
        <v>0</v>
      </c>
      <c r="DD160" s="35">
        <v>0</v>
      </c>
      <c r="DE160" s="35">
        <v>14.076569599999999</v>
      </c>
      <c r="DF160" s="35">
        <v>0</v>
      </c>
      <c r="DG160" s="35">
        <v>105.612475</v>
      </c>
      <c r="DH160" s="35">
        <v>27.669903400000003</v>
      </c>
      <c r="DI160" s="35">
        <v>11.668800000000001</v>
      </c>
      <c r="DJ160" s="35">
        <v>30.345340199999999</v>
      </c>
      <c r="DK160" s="35">
        <v>44.657221600000007</v>
      </c>
      <c r="DL160" s="35">
        <v>107.9373248</v>
      </c>
      <c r="DM160" s="35">
        <v>74.866085999999996</v>
      </c>
      <c r="DN160" s="35">
        <v>53.201591399999998</v>
      </c>
      <c r="DO160" s="35">
        <v>23.862406599999996</v>
      </c>
      <c r="DP160" s="35">
        <v>38.768272200000006</v>
      </c>
      <c r="DQ160" s="35">
        <v>16.646907599999999</v>
      </c>
      <c r="DR160" s="35">
        <v>33.440568200000008</v>
      </c>
      <c r="DS160" s="35">
        <v>77.122500000000002</v>
      </c>
      <c r="DT160" s="35">
        <v>59.680906400000012</v>
      </c>
      <c r="DU160" s="35">
        <v>24.922934399999999</v>
      </c>
      <c r="DV160" s="35">
        <v>25.466303200000002</v>
      </c>
      <c r="DW160" s="36">
        <v>160</v>
      </c>
      <c r="DX160" s="36">
        <v>150</v>
      </c>
      <c r="DY160" s="36">
        <v>97</v>
      </c>
      <c r="DZ160" s="36">
        <v>75</v>
      </c>
      <c r="EA160" s="36">
        <v>46</v>
      </c>
      <c r="EB160" s="29">
        <v>57.7</v>
      </c>
      <c r="EC160" s="29">
        <v>69.599999999999994</v>
      </c>
      <c r="ED160" s="29">
        <v>55.8</v>
      </c>
      <c r="EE160" s="29">
        <v>66.8</v>
      </c>
      <c r="EF160" s="26">
        <v>0</v>
      </c>
      <c r="EG160" s="30">
        <v>24</v>
      </c>
      <c r="EH160" s="30">
        <v>24</v>
      </c>
      <c r="EI160" s="26">
        <v>0</v>
      </c>
      <c r="EJ160" s="26">
        <v>0</v>
      </c>
      <c r="EK160" s="108">
        <v>523</v>
      </c>
      <c r="EL160" s="108">
        <v>72.2</v>
      </c>
      <c r="EM160" s="108">
        <v>379</v>
      </c>
      <c r="EN160" s="108">
        <v>463</v>
      </c>
      <c r="EO160" s="108">
        <v>492</v>
      </c>
      <c r="EP160" s="111">
        <v>4000000</v>
      </c>
      <c r="EQ160" s="111"/>
      <c r="FB160" s="26">
        <v>0</v>
      </c>
      <c r="FC160" s="26">
        <v>0.3434523809523809</v>
      </c>
      <c r="FD160" s="26">
        <v>0</v>
      </c>
      <c r="FE160" s="26">
        <v>0</v>
      </c>
      <c r="FF160" s="26">
        <v>0</v>
      </c>
      <c r="FG160" s="26">
        <v>10.98145238095238</v>
      </c>
      <c r="FH160" s="26">
        <v>3.7107142857142852E-2</v>
      </c>
      <c r="FI160" s="26">
        <v>0</v>
      </c>
      <c r="FJ160" s="74">
        <v>0</v>
      </c>
      <c r="FK160" s="74">
        <v>0.54600918744779858</v>
      </c>
      <c r="FL160" s="74">
        <v>0</v>
      </c>
      <c r="FM160" s="74">
        <v>0</v>
      </c>
      <c r="FN160" s="74">
        <v>0</v>
      </c>
      <c r="FO160" s="74">
        <v>0.57444444444444454</v>
      </c>
      <c r="FP160" s="26">
        <v>0</v>
      </c>
      <c r="FQ160" s="26">
        <v>0</v>
      </c>
      <c r="FR160" s="74">
        <v>0</v>
      </c>
      <c r="FS160" s="26">
        <v>0.85674074074074102</v>
      </c>
      <c r="FT160" s="26">
        <v>0</v>
      </c>
      <c r="FU160" s="26">
        <v>0</v>
      </c>
      <c r="FV160" s="26">
        <v>0</v>
      </c>
      <c r="FW160" s="26">
        <v>0</v>
      </c>
      <c r="FX160" s="26">
        <v>0</v>
      </c>
      <c r="FY160" s="26">
        <v>0</v>
      </c>
      <c r="FZ160" s="74">
        <v>0</v>
      </c>
      <c r="GA160" s="26">
        <v>0</v>
      </c>
      <c r="GB160" s="26">
        <v>0</v>
      </c>
      <c r="GC160" s="26">
        <v>0</v>
      </c>
      <c r="GD160" s="39"/>
    </row>
    <row r="161" spans="1:186" s="6" customFormat="1" x14ac:dyDescent="0.2">
      <c r="A161" s="60" t="s">
        <v>892</v>
      </c>
      <c r="B161" s="6" t="s">
        <v>256</v>
      </c>
      <c r="C161" s="6" t="s">
        <v>258</v>
      </c>
      <c r="D161" s="6" t="s">
        <v>876</v>
      </c>
      <c r="H161" s="6">
        <v>1</v>
      </c>
      <c r="I161" s="6">
        <v>1</v>
      </c>
      <c r="L161" s="6" t="s">
        <v>257</v>
      </c>
      <c r="M161" s="6" t="s">
        <v>804</v>
      </c>
      <c r="N161" s="6" t="s">
        <v>197</v>
      </c>
      <c r="O161" s="6" t="s">
        <v>671</v>
      </c>
      <c r="P161" s="6" t="s">
        <v>672</v>
      </c>
      <c r="T161">
        <v>148.58204485665311</v>
      </c>
      <c r="U161">
        <v>55.351644824623243</v>
      </c>
      <c r="V161">
        <v>10000</v>
      </c>
      <c r="W161">
        <v>10000</v>
      </c>
      <c r="X161">
        <v>0.10283394498604537</v>
      </c>
      <c r="Y161">
        <v>0.13042760778587531</v>
      </c>
      <c r="Z161" s="64">
        <v>112</v>
      </c>
      <c r="AA161" s="64"/>
      <c r="AB161" s="61"/>
      <c r="AC161" s="61"/>
      <c r="AD161" s="62"/>
      <c r="AE161" s="63"/>
      <c r="AF161" s="63"/>
      <c r="AG161" s="6" t="s">
        <v>256</v>
      </c>
      <c r="AH161" s="6" t="s">
        <v>257</v>
      </c>
      <c r="AI161" s="4">
        <v>300352</v>
      </c>
      <c r="AJ161" s="3" t="s">
        <v>258</v>
      </c>
      <c r="AK161" s="3" t="s">
        <v>197</v>
      </c>
      <c r="AL161" s="6">
        <v>285</v>
      </c>
      <c r="EK161"/>
      <c r="EL161"/>
      <c r="EM161"/>
      <c r="EN161"/>
      <c r="EO161"/>
      <c r="EP161"/>
      <c r="EQ161"/>
      <c r="EW161" s="6">
        <v>0</v>
      </c>
      <c r="EX161" s="6">
        <v>0</v>
      </c>
      <c r="EY161" s="65">
        <v>36.596666666666671</v>
      </c>
      <c r="EZ161" s="6">
        <v>34.526666666666671</v>
      </c>
      <c r="FA161" s="6">
        <v>152.88666666666666</v>
      </c>
      <c r="FB161" s="65"/>
      <c r="GD161"/>
    </row>
    <row r="162" spans="1:186" s="6" customFormat="1" x14ac:dyDescent="0.2">
      <c r="A162" s="60" t="s">
        <v>961</v>
      </c>
      <c r="B162" s="6" t="s">
        <v>962</v>
      </c>
      <c r="C162" s="6" t="s">
        <v>544</v>
      </c>
      <c r="D162" s="6" t="s">
        <v>876</v>
      </c>
      <c r="H162" s="6">
        <v>1</v>
      </c>
      <c r="I162" s="6">
        <v>1</v>
      </c>
      <c r="L162" s="6" t="s">
        <v>541</v>
      </c>
      <c r="M162" s="6" t="s">
        <v>963</v>
      </c>
      <c r="N162" s="6" t="s">
        <v>270</v>
      </c>
      <c r="O162" s="6" t="s">
        <v>671</v>
      </c>
      <c r="P162" s="6" t="s">
        <v>672</v>
      </c>
      <c r="T162">
        <v>10000</v>
      </c>
      <c r="U162">
        <v>2.4272083565565797E-5</v>
      </c>
      <c r="V162">
        <v>10000</v>
      </c>
      <c r="W162">
        <v>10000</v>
      </c>
      <c r="X162">
        <v>7.8125029758982084E-2</v>
      </c>
      <c r="Y162">
        <v>0.15609375225939184</v>
      </c>
      <c r="Z162" s="64">
        <v>389</v>
      </c>
      <c r="AA162" s="64"/>
      <c r="AB162" s="61"/>
      <c r="AC162" s="61"/>
      <c r="AD162" s="62"/>
      <c r="AE162" s="63"/>
      <c r="AF162" s="63"/>
      <c r="AG162" s="6" t="s">
        <v>542</v>
      </c>
      <c r="AH162" s="6" t="s">
        <v>543</v>
      </c>
      <c r="AI162" s="2"/>
      <c r="AJ162" s="3" t="s">
        <v>544</v>
      </c>
      <c r="AK162" s="3" t="s">
        <v>270</v>
      </c>
      <c r="AL162" s="6">
        <v>3272</v>
      </c>
      <c r="AM162" s="6" t="s">
        <v>193</v>
      </c>
      <c r="EK162"/>
      <c r="EL162"/>
      <c r="EM162"/>
      <c r="EN162"/>
      <c r="EO162"/>
      <c r="EP162"/>
      <c r="EQ162"/>
      <c r="FB162" s="6">
        <v>0</v>
      </c>
      <c r="FC162" s="6">
        <v>0</v>
      </c>
      <c r="FD162" s="6">
        <v>0</v>
      </c>
      <c r="FE162" s="6">
        <v>0</v>
      </c>
      <c r="FF162" s="6">
        <v>0</v>
      </c>
      <c r="FG162" s="6">
        <v>0.21841666666666668</v>
      </c>
      <c r="FH162" s="6">
        <v>0</v>
      </c>
      <c r="FI162" s="6">
        <v>0</v>
      </c>
      <c r="FJ162" s="66">
        <v>0</v>
      </c>
      <c r="FK162" s="66">
        <v>6.8836256612178346</v>
      </c>
      <c r="FL162" s="66">
        <v>0</v>
      </c>
      <c r="FM162" s="66">
        <v>0</v>
      </c>
      <c r="FN162" s="66">
        <v>0</v>
      </c>
      <c r="FO162" s="66">
        <v>0</v>
      </c>
      <c r="FP162" s="6">
        <v>0</v>
      </c>
      <c r="FQ162" s="6">
        <v>0</v>
      </c>
      <c r="FR162" s="66">
        <v>0</v>
      </c>
      <c r="FS162" s="6">
        <v>0</v>
      </c>
      <c r="FT162" s="6">
        <v>0</v>
      </c>
      <c r="FU162" s="6">
        <v>0</v>
      </c>
      <c r="FV162" s="6">
        <v>0</v>
      </c>
      <c r="FW162" s="6">
        <v>0</v>
      </c>
      <c r="FX162" s="6">
        <v>0</v>
      </c>
      <c r="FY162" s="6">
        <v>0</v>
      </c>
      <c r="FZ162" s="66">
        <v>0</v>
      </c>
      <c r="GA162" s="6">
        <v>0</v>
      </c>
      <c r="GB162" s="6">
        <v>0</v>
      </c>
      <c r="GC162" s="6">
        <v>0</v>
      </c>
      <c r="GD162"/>
    </row>
    <row r="163" spans="1:186" s="6" customFormat="1" x14ac:dyDescent="0.2">
      <c r="A163" s="60" t="s">
        <v>781</v>
      </c>
      <c r="B163" s="6" t="s">
        <v>576</v>
      </c>
      <c r="C163" s="6" t="s">
        <v>359</v>
      </c>
      <c r="D163" s="6" t="s">
        <v>782</v>
      </c>
      <c r="F163" s="6">
        <v>191</v>
      </c>
      <c r="H163" s="6">
        <v>1</v>
      </c>
      <c r="I163" s="6">
        <v>1</v>
      </c>
      <c r="J163" s="6">
        <v>1</v>
      </c>
      <c r="L163" s="6" t="s">
        <v>355</v>
      </c>
      <c r="M163" s="6" t="s">
        <v>783</v>
      </c>
      <c r="N163" s="6" t="s">
        <v>201</v>
      </c>
      <c r="O163" s="6" t="s">
        <v>671</v>
      </c>
      <c r="P163" s="6" t="s">
        <v>672</v>
      </c>
      <c r="T163">
        <v>99.615039587271497</v>
      </c>
      <c r="U163">
        <v>98.457061136141775</v>
      </c>
      <c r="V163">
        <v>10000</v>
      </c>
      <c r="W163">
        <v>10000</v>
      </c>
      <c r="X163">
        <v>5.4207683254118441E-2</v>
      </c>
      <c r="Y163">
        <v>6.6289586767205616E-2</v>
      </c>
      <c r="Z163" s="64">
        <v>14</v>
      </c>
      <c r="AA163" s="64"/>
      <c r="AB163" s="61"/>
      <c r="AC163" s="61"/>
      <c r="AD163" s="62"/>
      <c r="AE163" s="63"/>
      <c r="AF163" s="63"/>
      <c r="AG163" s="6" t="s">
        <v>357</v>
      </c>
      <c r="AH163" s="6" t="s">
        <v>358</v>
      </c>
      <c r="AI163" s="2"/>
      <c r="AJ163" s="3" t="s">
        <v>359</v>
      </c>
      <c r="AK163" s="3" t="s">
        <v>201</v>
      </c>
      <c r="AL163" s="6">
        <v>609</v>
      </c>
      <c r="AM163" s="6" t="s">
        <v>193</v>
      </c>
      <c r="EK163"/>
      <c r="EL163"/>
      <c r="EM163"/>
      <c r="EN163"/>
      <c r="EO163"/>
      <c r="EP163"/>
      <c r="EQ163"/>
      <c r="ER163" s="67">
        <v>24.13</v>
      </c>
      <c r="ES163" s="6">
        <v>0</v>
      </c>
      <c r="ET163" s="6">
        <v>24.83</v>
      </c>
      <c r="EU163" s="6">
        <v>15.063333333333333</v>
      </c>
      <c r="EV163" s="6">
        <v>5.12</v>
      </c>
      <c r="FB163" s="6">
        <v>0</v>
      </c>
      <c r="FC163" s="6">
        <v>0</v>
      </c>
      <c r="FD163" s="6">
        <v>0</v>
      </c>
      <c r="FE163" s="6">
        <v>0</v>
      </c>
      <c r="FF163" s="6">
        <v>0</v>
      </c>
      <c r="FG163" s="6">
        <v>0</v>
      </c>
      <c r="FH163" s="6">
        <v>0</v>
      </c>
      <c r="FI163" s="6">
        <v>0</v>
      </c>
      <c r="FJ163" s="66">
        <v>0</v>
      </c>
      <c r="FK163" s="66">
        <v>0</v>
      </c>
      <c r="FL163" s="66">
        <v>0</v>
      </c>
      <c r="FM163" s="66">
        <v>0</v>
      </c>
      <c r="FN163" s="66">
        <v>0</v>
      </c>
      <c r="FO163" s="66">
        <v>0</v>
      </c>
      <c r="FP163" s="6">
        <v>0</v>
      </c>
      <c r="FQ163" s="6">
        <v>0</v>
      </c>
      <c r="FR163" s="66">
        <v>0</v>
      </c>
      <c r="FS163" s="6">
        <v>0</v>
      </c>
      <c r="FT163" s="6">
        <v>0</v>
      </c>
      <c r="FU163" s="6">
        <v>0</v>
      </c>
      <c r="FV163" s="6">
        <v>0</v>
      </c>
      <c r="FW163" s="6">
        <v>0</v>
      </c>
      <c r="FX163" s="6">
        <v>0</v>
      </c>
      <c r="FY163" s="6">
        <v>0</v>
      </c>
      <c r="FZ163" s="66">
        <v>0</v>
      </c>
      <c r="GA163" s="6">
        <v>0</v>
      </c>
      <c r="GB163" s="6">
        <v>0</v>
      </c>
      <c r="GC163" s="6">
        <v>0</v>
      </c>
      <c r="GD163"/>
    </row>
    <row r="164" spans="1:186" s="6" customFormat="1" x14ac:dyDescent="0.2">
      <c r="A164" s="60" t="s">
        <v>1037</v>
      </c>
      <c r="B164" s="6" t="s">
        <v>156</v>
      </c>
      <c r="C164" s="6" t="s">
        <v>83</v>
      </c>
      <c r="D164" s="6" t="s">
        <v>255</v>
      </c>
      <c r="F164" s="6">
        <v>302100</v>
      </c>
      <c r="G164" s="6">
        <v>1</v>
      </c>
      <c r="J164" s="6">
        <v>1</v>
      </c>
      <c r="L164" s="6" t="s">
        <v>876</v>
      </c>
      <c r="M164" s="6" t="s">
        <v>876</v>
      </c>
      <c r="N164" s="6" t="s">
        <v>876</v>
      </c>
      <c r="O164" s="6" t="s">
        <v>876</v>
      </c>
      <c r="P164" s="6" t="s">
        <v>876</v>
      </c>
      <c r="T164"/>
      <c r="U164"/>
      <c r="V164"/>
      <c r="W164"/>
      <c r="X164"/>
      <c r="Y164"/>
      <c r="Z164"/>
      <c r="AA164"/>
      <c r="AB164" s="53">
        <v>5.8699999999999996E-4</v>
      </c>
      <c r="AC164" s="53">
        <v>1.23E-2</v>
      </c>
      <c r="AD164" s="54">
        <v>0.20300000000000001</v>
      </c>
      <c r="AE164" s="54">
        <v>2.27</v>
      </c>
      <c r="AF164" s="54">
        <v>0.29399999999999998</v>
      </c>
      <c r="AG164" s="6" t="s">
        <v>156</v>
      </c>
      <c r="AI164" s="6">
        <v>302100</v>
      </c>
      <c r="AJ164" s="6" t="s">
        <v>83</v>
      </c>
      <c r="AK164" s="3" t="s">
        <v>427</v>
      </c>
      <c r="AM164" s="6" t="s">
        <v>189</v>
      </c>
      <c r="DW164" s="19">
        <v>38</v>
      </c>
      <c r="DX164" s="19">
        <v>39</v>
      </c>
      <c r="DY164" s="19">
        <v>41</v>
      </c>
      <c r="DZ164" s="19">
        <v>30</v>
      </c>
      <c r="EA164" s="19">
        <v>16</v>
      </c>
      <c r="EB164" s="17">
        <v>25.9</v>
      </c>
      <c r="EC164" s="17">
        <v>41</v>
      </c>
      <c r="ED164" s="17">
        <v>32.6</v>
      </c>
      <c r="EE164" s="17">
        <v>36.700000000000003</v>
      </c>
      <c r="EF164" s="17"/>
      <c r="EG164" s="17"/>
      <c r="EH164" s="17"/>
      <c r="EI164" s="17"/>
      <c r="EJ164" s="19"/>
      <c r="EK164" s="106">
        <v>712</v>
      </c>
      <c r="EL164" s="106">
        <v>91</v>
      </c>
      <c r="EM164" s="106">
        <v>241</v>
      </c>
      <c r="EN164" s="106">
        <v>279</v>
      </c>
      <c r="EO164" s="106">
        <v>296</v>
      </c>
      <c r="EP164" s="106"/>
      <c r="EQ164" s="106"/>
      <c r="GD164"/>
    </row>
    <row r="165" spans="1:186" s="6" customFormat="1" x14ac:dyDescent="0.2">
      <c r="A165" s="60" t="s">
        <v>943</v>
      </c>
      <c r="B165" s="6" t="s">
        <v>400</v>
      </c>
      <c r="C165" s="6" t="s">
        <v>402</v>
      </c>
      <c r="D165" s="6" t="s">
        <v>876</v>
      </c>
      <c r="I165" s="6">
        <v>1</v>
      </c>
      <c r="L165" s="6" t="s">
        <v>396</v>
      </c>
      <c r="M165" s="6" t="s">
        <v>999</v>
      </c>
      <c r="N165" s="6" t="s">
        <v>201</v>
      </c>
      <c r="O165" s="6" t="s">
        <v>671</v>
      </c>
      <c r="P165" s="6" t="s">
        <v>672</v>
      </c>
      <c r="T165">
        <v>9.1891261509045741</v>
      </c>
      <c r="U165">
        <v>2.4021288096752698</v>
      </c>
      <c r="V165">
        <v>16.74300333098568</v>
      </c>
      <c r="W165">
        <v>10.32755119000163</v>
      </c>
      <c r="X165">
        <v>0.68337010147616017</v>
      </c>
      <c r="Y165">
        <v>0.77113382836360389</v>
      </c>
      <c r="Z165"/>
      <c r="AA165"/>
      <c r="AB165" s="61"/>
      <c r="AC165" s="61"/>
      <c r="AD165" s="62"/>
      <c r="AE165" s="63"/>
      <c r="AF165" s="63"/>
      <c r="AG165" s="6" t="s">
        <v>400</v>
      </c>
      <c r="AH165" s="6" t="s">
        <v>401</v>
      </c>
      <c r="AI165" s="2"/>
      <c r="AJ165" s="3" t="s">
        <v>402</v>
      </c>
      <c r="AK165" s="3" t="s">
        <v>201</v>
      </c>
      <c r="AL165" s="6">
        <v>768</v>
      </c>
      <c r="EK165"/>
      <c r="EL165"/>
      <c r="EM165"/>
      <c r="EN165"/>
      <c r="EO165"/>
      <c r="EP165"/>
      <c r="EQ165"/>
      <c r="GD165"/>
    </row>
    <row r="166" spans="1:186" s="6" customFormat="1" x14ac:dyDescent="0.2">
      <c r="A166" s="60" t="s">
        <v>958</v>
      </c>
      <c r="B166" s="6" t="s">
        <v>959</v>
      </c>
      <c r="C166" s="6" t="s">
        <v>537</v>
      </c>
      <c r="D166" s="6" t="s">
        <v>876</v>
      </c>
      <c r="H166" s="6">
        <v>1</v>
      </c>
      <c r="I166" s="6">
        <v>1</v>
      </c>
      <c r="L166" s="6" t="s">
        <v>536</v>
      </c>
      <c r="M166" s="6" t="s">
        <v>960</v>
      </c>
      <c r="N166" s="6" t="s">
        <v>270</v>
      </c>
      <c r="O166" s="6" t="s">
        <v>671</v>
      </c>
      <c r="P166" s="6" t="s">
        <v>672</v>
      </c>
      <c r="T166">
        <v>55.363883137132277</v>
      </c>
      <c r="U166">
        <v>10000</v>
      </c>
      <c r="V166">
        <v>61.171998641007463</v>
      </c>
      <c r="W166">
        <v>10000</v>
      </c>
      <c r="X166">
        <v>8.7720792909988798E-2</v>
      </c>
      <c r="Y166">
        <v>0.13541665963234731</v>
      </c>
      <c r="Z166" s="64">
        <v>262</v>
      </c>
      <c r="AA166" s="64"/>
      <c r="AB166" s="61"/>
      <c r="AC166" s="61"/>
      <c r="AD166" s="62"/>
      <c r="AE166" s="63"/>
      <c r="AF166" s="63"/>
      <c r="AG166" s="6" t="s">
        <v>535</v>
      </c>
      <c r="AH166" s="6" t="s">
        <v>536</v>
      </c>
      <c r="AI166" s="2"/>
      <c r="AJ166" s="3" t="s">
        <v>537</v>
      </c>
      <c r="AK166" s="3" t="s">
        <v>270</v>
      </c>
      <c r="AL166" s="6">
        <v>3015</v>
      </c>
      <c r="AM166" s="6" t="s">
        <v>193</v>
      </c>
      <c r="EK166"/>
      <c r="EL166"/>
      <c r="EM166"/>
      <c r="EN166"/>
      <c r="EO166"/>
      <c r="EP166"/>
      <c r="EQ166"/>
      <c r="FB166" s="6">
        <v>0</v>
      </c>
      <c r="FC166" s="6">
        <v>0</v>
      </c>
      <c r="FD166" s="6">
        <v>0</v>
      </c>
      <c r="FE166" s="6">
        <v>0</v>
      </c>
      <c r="FF166" s="6">
        <v>0</v>
      </c>
      <c r="FG166" s="6">
        <v>0.289047619047619</v>
      </c>
      <c r="FH166" s="6">
        <v>0</v>
      </c>
      <c r="FI166" s="6">
        <v>0</v>
      </c>
      <c r="FJ166" s="66">
        <v>0</v>
      </c>
      <c r="FK166" s="66">
        <v>0</v>
      </c>
      <c r="FL166" s="66">
        <v>0</v>
      </c>
      <c r="FM166" s="66">
        <v>0</v>
      </c>
      <c r="FN166" s="66">
        <v>0</v>
      </c>
      <c r="FO166" s="66">
        <v>0</v>
      </c>
      <c r="FP166" s="6">
        <v>0</v>
      </c>
      <c r="FQ166" s="6">
        <v>0</v>
      </c>
      <c r="FR166" s="66">
        <v>0</v>
      </c>
      <c r="FS166" s="6">
        <v>0</v>
      </c>
      <c r="FT166" s="6">
        <v>0</v>
      </c>
      <c r="FU166" s="6">
        <v>0</v>
      </c>
      <c r="FV166" s="6">
        <v>0</v>
      </c>
      <c r="FW166" s="6">
        <v>0</v>
      </c>
      <c r="FX166" s="6">
        <v>0</v>
      </c>
      <c r="FY166" s="6">
        <v>0</v>
      </c>
      <c r="FZ166" s="66">
        <v>0</v>
      </c>
      <c r="GA166" s="6">
        <v>0</v>
      </c>
      <c r="GB166" s="6">
        <v>0</v>
      </c>
      <c r="GC166" s="6">
        <v>0</v>
      </c>
      <c r="GD166"/>
    </row>
    <row r="167" spans="1:186" s="6" customFormat="1" x14ac:dyDescent="0.2">
      <c r="A167" s="60" t="s">
        <v>843</v>
      </c>
      <c r="B167" s="6" t="s">
        <v>580</v>
      </c>
      <c r="C167" s="6" t="s">
        <v>423</v>
      </c>
      <c r="D167" s="6" t="s">
        <v>255</v>
      </c>
      <c r="F167" s="6">
        <v>301729</v>
      </c>
      <c r="H167" s="6">
        <v>1</v>
      </c>
      <c r="I167" s="6">
        <v>1</v>
      </c>
      <c r="J167" s="6">
        <v>1</v>
      </c>
      <c r="L167" s="6" t="s">
        <v>417</v>
      </c>
      <c r="M167" s="6" t="s">
        <v>844</v>
      </c>
      <c r="N167" s="6" t="s">
        <v>201</v>
      </c>
      <c r="O167" s="6" t="s">
        <v>671</v>
      </c>
      <c r="P167" s="6" t="s">
        <v>672</v>
      </c>
      <c r="T167">
        <v>43.542363123964172</v>
      </c>
      <c r="U167">
        <v>1.0947394198051863</v>
      </c>
      <c r="V167">
        <v>56.352916632956621</v>
      </c>
      <c r="W167">
        <v>1.608484640869329</v>
      </c>
      <c r="X167">
        <v>7.1348568759104627E-2</v>
      </c>
      <c r="Y167">
        <v>0.96864291299018324</v>
      </c>
      <c r="Z167" s="64">
        <v>27</v>
      </c>
      <c r="AA167" s="64"/>
      <c r="AB167" s="61"/>
      <c r="AC167" s="61"/>
      <c r="AD167" s="62"/>
      <c r="AE167" s="63"/>
      <c r="AF167" s="63"/>
      <c r="AG167" s="6" t="s">
        <v>421</v>
      </c>
      <c r="AH167" s="6" t="s">
        <v>422</v>
      </c>
      <c r="AI167" s="2"/>
      <c r="AJ167" s="3" t="s">
        <v>423</v>
      </c>
      <c r="AK167" s="3" t="s">
        <v>201</v>
      </c>
      <c r="AL167" s="6">
        <v>777</v>
      </c>
      <c r="AM167" s="6" t="s">
        <v>193</v>
      </c>
      <c r="EK167"/>
      <c r="EL167"/>
      <c r="EM167"/>
      <c r="EN167"/>
      <c r="EO167"/>
      <c r="EP167"/>
      <c r="EQ167"/>
      <c r="ER167" s="75">
        <v>0</v>
      </c>
      <c r="ES167" s="6">
        <v>0</v>
      </c>
      <c r="ET167" s="6">
        <v>3.7333333333333329</v>
      </c>
      <c r="EU167" s="6">
        <v>2.3266666666666667</v>
      </c>
      <c r="EV167" s="6">
        <v>1.9233333333333331</v>
      </c>
      <c r="FB167" s="6">
        <v>0</v>
      </c>
      <c r="FC167" s="6">
        <v>0</v>
      </c>
      <c r="FD167" s="6">
        <v>0</v>
      </c>
      <c r="FE167" s="6">
        <v>0</v>
      </c>
      <c r="FF167" s="6">
        <v>0</v>
      </c>
      <c r="FG167" s="6">
        <v>0</v>
      </c>
      <c r="FH167" s="6">
        <v>0</v>
      </c>
      <c r="FI167" s="6">
        <v>0</v>
      </c>
      <c r="FJ167" s="66">
        <v>0</v>
      </c>
      <c r="FK167" s="66">
        <v>0</v>
      </c>
      <c r="FL167" s="66">
        <v>0</v>
      </c>
      <c r="FM167" s="66">
        <v>0</v>
      </c>
      <c r="FN167" s="66">
        <v>0</v>
      </c>
      <c r="FO167" s="66">
        <v>0</v>
      </c>
      <c r="FP167" s="6">
        <v>0</v>
      </c>
      <c r="FQ167" s="6">
        <v>0</v>
      </c>
      <c r="FR167" s="66">
        <v>0</v>
      </c>
      <c r="FS167" s="6">
        <v>0</v>
      </c>
      <c r="FT167" s="6">
        <v>0</v>
      </c>
      <c r="FU167" s="6">
        <v>0</v>
      </c>
      <c r="FV167" s="6">
        <v>0</v>
      </c>
      <c r="FW167" s="6">
        <v>0</v>
      </c>
      <c r="FX167" s="6">
        <v>0</v>
      </c>
      <c r="FY167" s="6">
        <v>0</v>
      </c>
      <c r="FZ167" s="66">
        <v>0</v>
      </c>
      <c r="GA167" s="6">
        <v>0</v>
      </c>
      <c r="GB167" s="6">
        <v>0</v>
      </c>
      <c r="GC167" s="6">
        <v>0</v>
      </c>
      <c r="GD167"/>
    </row>
    <row r="168" spans="1:186" s="6" customFormat="1" x14ac:dyDescent="0.2">
      <c r="A168" s="60" t="s">
        <v>886</v>
      </c>
      <c r="B168" s="6" t="s">
        <v>233</v>
      </c>
      <c r="C168" s="6" t="s">
        <v>235</v>
      </c>
      <c r="D168" s="6" t="s">
        <v>876</v>
      </c>
      <c r="H168" s="6">
        <v>1</v>
      </c>
      <c r="I168" s="6">
        <v>1</v>
      </c>
      <c r="L168" s="6" t="s">
        <v>234</v>
      </c>
      <c r="M168" s="6" t="s">
        <v>731</v>
      </c>
      <c r="N168" s="6" t="s">
        <v>197</v>
      </c>
      <c r="O168" s="6" t="s">
        <v>671</v>
      </c>
      <c r="P168" s="6" t="s">
        <v>672</v>
      </c>
      <c r="T168">
        <v>37.516070491195684</v>
      </c>
      <c r="U168">
        <v>42.683358658598173</v>
      </c>
      <c r="V168">
        <v>79.870387987081273</v>
      </c>
      <c r="W168">
        <v>59.70540998231516</v>
      </c>
      <c r="X168">
        <v>0.12898499274819195</v>
      </c>
      <c r="Y168">
        <v>0.1880089477429587</v>
      </c>
      <c r="Z168" s="64">
        <v>110</v>
      </c>
      <c r="AA168" s="64"/>
      <c r="AB168" s="61"/>
      <c r="AC168" s="61"/>
      <c r="AD168" s="62"/>
      <c r="AE168" s="63"/>
      <c r="AF168" s="63"/>
      <c r="AG168" s="6" t="s">
        <v>233</v>
      </c>
      <c r="AH168" s="6" t="s">
        <v>234</v>
      </c>
      <c r="AI168" s="2"/>
      <c r="AJ168" s="6" t="s">
        <v>235</v>
      </c>
      <c r="AK168" s="3" t="s">
        <v>197</v>
      </c>
      <c r="AL168" s="6">
        <v>1965</v>
      </c>
      <c r="EK168"/>
      <c r="EL168"/>
      <c r="EM168"/>
      <c r="EN168"/>
      <c r="EO168"/>
      <c r="EP168"/>
      <c r="EQ168"/>
      <c r="EW168" s="6">
        <v>127.74333333333334</v>
      </c>
      <c r="EX168" s="6">
        <v>97.623333333333335</v>
      </c>
      <c r="EY168" s="65">
        <v>35.910000000000004</v>
      </c>
      <c r="EZ168" s="6">
        <v>0</v>
      </c>
      <c r="FA168" s="6">
        <v>46.556666666666665</v>
      </c>
      <c r="GD168"/>
    </row>
    <row r="169" spans="1:186" s="6" customFormat="1" x14ac:dyDescent="0.2">
      <c r="A169" s="60" t="s">
        <v>974</v>
      </c>
      <c r="B169" s="6" t="s">
        <v>975</v>
      </c>
      <c r="C169" s="6" t="s">
        <v>976</v>
      </c>
      <c r="D169" s="6" t="s">
        <v>876</v>
      </c>
      <c r="I169" s="6">
        <v>1</v>
      </c>
      <c r="L169" s="6" t="s">
        <v>254</v>
      </c>
      <c r="M169" s="6" t="s">
        <v>977</v>
      </c>
      <c r="N169" s="6" t="s">
        <v>255</v>
      </c>
      <c r="O169" s="6" t="s">
        <v>671</v>
      </c>
      <c r="P169" s="6" t="s">
        <v>672</v>
      </c>
      <c r="T169">
        <v>8.2327098663300227</v>
      </c>
      <c r="U169">
        <v>27.382214614638269</v>
      </c>
      <c r="V169">
        <v>28.943202729851613</v>
      </c>
      <c r="W169">
        <v>30.287399228096429</v>
      </c>
      <c r="X169">
        <v>0.72745521658966139</v>
      </c>
      <c r="Y169">
        <v>0.74130705338668013</v>
      </c>
      <c r="Z169"/>
      <c r="AA169"/>
      <c r="AB169" s="61"/>
      <c r="AC169" s="61"/>
      <c r="AD169" s="62"/>
      <c r="AE169" s="63"/>
      <c r="AF169" s="63"/>
      <c r="AG169" s="6" t="s">
        <v>253</v>
      </c>
      <c r="AH169" s="6" t="s">
        <v>254</v>
      </c>
      <c r="AI169" s="2"/>
      <c r="AJ169" s="6" t="s">
        <v>976</v>
      </c>
      <c r="AK169" s="3" t="s">
        <v>255</v>
      </c>
      <c r="AL169" s="6">
        <v>3413</v>
      </c>
      <c r="EK169"/>
      <c r="EL169"/>
      <c r="EM169"/>
      <c r="EN169"/>
      <c r="EO169"/>
      <c r="EP169"/>
      <c r="EQ169"/>
      <c r="GD169"/>
    </row>
    <row r="170" spans="1:186" s="6" customFormat="1" x14ac:dyDescent="0.2">
      <c r="A170" s="60" t="s">
        <v>982</v>
      </c>
      <c r="B170" s="6" t="s">
        <v>310</v>
      </c>
      <c r="C170" s="6" t="s">
        <v>983</v>
      </c>
      <c r="D170" s="6" t="s">
        <v>876</v>
      </c>
      <c r="I170" s="6">
        <v>1</v>
      </c>
      <c r="L170" s="6" t="s">
        <v>311</v>
      </c>
      <c r="M170" s="6" t="s">
        <v>984</v>
      </c>
      <c r="N170" s="6" t="s">
        <v>201</v>
      </c>
      <c r="O170" s="6" t="s">
        <v>671</v>
      </c>
      <c r="P170" s="6" t="s">
        <v>672</v>
      </c>
      <c r="T170">
        <v>4.4107550457834019</v>
      </c>
      <c r="U170">
        <v>4.044787590887811</v>
      </c>
      <c r="V170">
        <v>17.048108314200714</v>
      </c>
      <c r="W170">
        <v>14.809626268791845</v>
      </c>
      <c r="X170">
        <v>8.5665243633738467E-2</v>
      </c>
      <c r="Y170">
        <v>0.10803736664577057</v>
      </c>
      <c r="Z170"/>
      <c r="AA170"/>
      <c r="AB170" s="61"/>
      <c r="AC170" s="61"/>
      <c r="AD170" s="62"/>
      <c r="AE170" s="63"/>
      <c r="AF170" s="63"/>
      <c r="AG170" s="6" t="s">
        <v>310</v>
      </c>
      <c r="AH170" s="6" t="s">
        <v>311</v>
      </c>
      <c r="AI170" s="2"/>
      <c r="AJ170" s="6" t="s">
        <v>983</v>
      </c>
      <c r="AK170" s="3" t="s">
        <v>201</v>
      </c>
      <c r="AL170" s="6">
        <v>448</v>
      </c>
      <c r="AM170" s="6" t="s">
        <v>189</v>
      </c>
      <c r="EK170"/>
      <c r="EL170"/>
      <c r="EM170"/>
      <c r="EN170"/>
      <c r="EO170"/>
      <c r="EP170"/>
      <c r="EQ170"/>
      <c r="GD170"/>
    </row>
    <row r="171" spans="1:186" s="6" customFormat="1" x14ac:dyDescent="0.2">
      <c r="A171" s="60" t="s">
        <v>996</v>
      </c>
      <c r="B171" s="6" t="s">
        <v>393</v>
      </c>
      <c r="C171" s="6" t="s">
        <v>997</v>
      </c>
      <c r="D171" s="6" t="s">
        <v>876</v>
      </c>
      <c r="I171" s="6">
        <v>1</v>
      </c>
      <c r="L171" s="6" t="s">
        <v>394</v>
      </c>
      <c r="M171" s="6" t="s">
        <v>998</v>
      </c>
      <c r="N171" s="6" t="s">
        <v>201</v>
      </c>
      <c r="O171" s="6" t="s">
        <v>671</v>
      </c>
      <c r="P171" s="6" t="s">
        <v>672</v>
      </c>
      <c r="T171">
        <v>34.475256918638969</v>
      </c>
      <c r="U171">
        <v>24.50152716626404</v>
      </c>
      <c r="V171">
        <v>165.55992730191235</v>
      </c>
      <c r="W171">
        <v>44.721138088779</v>
      </c>
      <c r="X171">
        <v>0.22780229497428781</v>
      </c>
      <c r="Y171">
        <v>0.37442102415001322</v>
      </c>
      <c r="Z171"/>
      <c r="AA171"/>
      <c r="AB171" s="61"/>
      <c r="AC171" s="61"/>
      <c r="AD171" s="62"/>
      <c r="AE171" s="63"/>
      <c r="AF171" s="63"/>
      <c r="AG171" s="6" t="s">
        <v>393</v>
      </c>
      <c r="AH171" s="6" t="s">
        <v>394</v>
      </c>
      <c r="AI171" s="2"/>
      <c r="AJ171" s="6" t="s">
        <v>997</v>
      </c>
      <c r="AK171" s="3" t="s">
        <v>201</v>
      </c>
      <c r="AL171" s="6">
        <v>722</v>
      </c>
      <c r="AM171" s="6" t="s">
        <v>189</v>
      </c>
      <c r="EK171"/>
      <c r="EL171"/>
      <c r="EM171"/>
      <c r="EN171"/>
      <c r="EO171"/>
      <c r="EP171"/>
      <c r="EQ171"/>
      <c r="FC171" s="14"/>
      <c r="GD171"/>
    </row>
    <row r="172" spans="1:186" s="6" customFormat="1" x14ac:dyDescent="0.2">
      <c r="A172" s="60" t="s">
        <v>757</v>
      </c>
      <c r="B172" s="6" t="s">
        <v>1002</v>
      </c>
      <c r="C172" s="6" t="s">
        <v>1003</v>
      </c>
      <c r="D172" s="6" t="s">
        <v>876</v>
      </c>
      <c r="I172" s="6">
        <v>1</v>
      </c>
      <c r="L172" s="6" t="s">
        <v>499</v>
      </c>
      <c r="M172" s="6" t="s">
        <v>1004</v>
      </c>
      <c r="N172" s="6" t="s">
        <v>255</v>
      </c>
      <c r="O172" s="6" t="s">
        <v>671</v>
      </c>
      <c r="P172" s="6" t="s">
        <v>672</v>
      </c>
      <c r="T172">
        <v>139.04455066475435</v>
      </c>
      <c r="U172">
        <v>20.688579380093184</v>
      </c>
      <c r="V172">
        <v>10000</v>
      </c>
      <c r="W172">
        <v>29.238949576134367</v>
      </c>
      <c r="X172">
        <v>0.11763683296371914</v>
      </c>
      <c r="Y172">
        <v>0.64157750757716459</v>
      </c>
      <c r="Z172"/>
      <c r="AA172"/>
      <c r="AB172" s="61"/>
      <c r="AC172" s="61"/>
      <c r="AD172" s="62"/>
      <c r="AE172" s="63"/>
      <c r="AF172" s="63"/>
      <c r="AG172" s="6" t="s">
        <v>498</v>
      </c>
      <c r="AH172" s="6" t="s">
        <v>499</v>
      </c>
      <c r="AI172" s="2"/>
      <c r="AJ172" s="6" t="s">
        <v>1003</v>
      </c>
      <c r="AK172" s="3" t="s">
        <v>255</v>
      </c>
      <c r="AL172" s="6">
        <v>3411</v>
      </c>
      <c r="EK172"/>
      <c r="EL172"/>
      <c r="EM172"/>
      <c r="EN172"/>
      <c r="EO172"/>
      <c r="EP172"/>
      <c r="EQ172"/>
      <c r="GD172"/>
    </row>
    <row r="173" spans="1:186" s="6" customFormat="1" x14ac:dyDescent="0.2">
      <c r="A173" s="60" t="s">
        <v>1005</v>
      </c>
      <c r="B173" s="6" t="s">
        <v>1006</v>
      </c>
      <c r="C173" s="6" t="s">
        <v>1007</v>
      </c>
      <c r="D173" s="6" t="s">
        <v>876</v>
      </c>
      <c r="I173" s="6">
        <v>1</v>
      </c>
      <c r="L173" s="6" t="s">
        <v>501</v>
      </c>
      <c r="M173" s="6" t="s">
        <v>1008</v>
      </c>
      <c r="N173" s="6" t="s">
        <v>255</v>
      </c>
      <c r="O173" s="6" t="s">
        <v>671</v>
      </c>
      <c r="P173" s="6" t="s">
        <v>672</v>
      </c>
      <c r="T173">
        <v>8.6661157017731512</v>
      </c>
      <c r="U173">
        <v>6.985715951876732</v>
      </c>
      <c r="V173">
        <v>23.933216775579041</v>
      </c>
      <c r="W173">
        <v>13.252955461519099</v>
      </c>
      <c r="X173">
        <v>0.31593124184394961</v>
      </c>
      <c r="Y173">
        <v>0.54157723259766588</v>
      </c>
      <c r="Z173"/>
      <c r="AA173"/>
      <c r="AB173" s="61"/>
      <c r="AC173" s="61"/>
      <c r="AD173" s="62"/>
      <c r="AE173" s="63"/>
      <c r="AF173" s="63"/>
      <c r="AG173" s="6" t="s">
        <v>500</v>
      </c>
      <c r="AH173" s="6" t="s">
        <v>501</v>
      </c>
      <c r="AI173" s="2"/>
      <c r="AJ173" s="6" t="s">
        <v>1007</v>
      </c>
      <c r="AK173" s="3" t="s">
        <v>255</v>
      </c>
      <c r="AL173" s="6">
        <v>3412</v>
      </c>
      <c r="EK173"/>
      <c r="EL173"/>
      <c r="EM173"/>
      <c r="EN173"/>
      <c r="EO173"/>
      <c r="EP173"/>
      <c r="EQ173"/>
      <c r="FB173" s="78"/>
      <c r="GD173"/>
    </row>
    <row r="174" spans="1:186" s="6" customFormat="1" x14ac:dyDescent="0.2">
      <c r="A174" s="60" t="s">
        <v>949</v>
      </c>
      <c r="B174" s="6" t="s">
        <v>1014</v>
      </c>
      <c r="C174" s="6" t="s">
        <v>1015</v>
      </c>
      <c r="D174" s="6" t="s">
        <v>876</v>
      </c>
      <c r="I174" s="6">
        <v>1</v>
      </c>
      <c r="L174" s="6" t="s">
        <v>534</v>
      </c>
      <c r="M174" s="6" t="s">
        <v>1016</v>
      </c>
      <c r="N174" s="6" t="s">
        <v>255</v>
      </c>
      <c r="O174" s="6" t="s">
        <v>671</v>
      </c>
      <c r="P174" s="6" t="s">
        <v>672</v>
      </c>
      <c r="T174">
        <v>15.040092470513402</v>
      </c>
      <c r="U174">
        <v>2.3417110092615419</v>
      </c>
      <c r="V174">
        <v>28.835633821387574</v>
      </c>
      <c r="W174">
        <v>8.9989516319290068</v>
      </c>
      <c r="X174">
        <v>0.57094236193721604</v>
      </c>
      <c r="Y174">
        <v>0.84415663581437461</v>
      </c>
      <c r="Z174"/>
      <c r="AA174"/>
      <c r="AB174" s="61"/>
      <c r="AC174" s="61"/>
      <c r="AD174" s="62"/>
      <c r="AE174" s="63"/>
      <c r="AF174" s="63"/>
      <c r="AG174" s="6" t="s">
        <v>533</v>
      </c>
      <c r="AH174" s="6" t="s">
        <v>534</v>
      </c>
      <c r="AI174" s="2"/>
      <c r="AJ174" s="6" t="s">
        <v>1015</v>
      </c>
      <c r="AK174" s="3" t="s">
        <v>255</v>
      </c>
      <c r="AL174" s="6">
        <v>3408</v>
      </c>
      <c r="EK174"/>
      <c r="EL174"/>
      <c r="EM174"/>
      <c r="EN174"/>
      <c r="EO174"/>
      <c r="EP174"/>
      <c r="EQ174"/>
      <c r="GD174"/>
    </row>
    <row r="175" spans="1:186" s="6" customFormat="1" x14ac:dyDescent="0.2">
      <c r="A175" s="60" t="s">
        <v>1049</v>
      </c>
      <c r="B175" s="6" t="s">
        <v>546</v>
      </c>
      <c r="C175" s="6" t="s">
        <v>1050</v>
      </c>
      <c r="D175" s="6" t="s">
        <v>876</v>
      </c>
      <c r="E175" s="6" t="s">
        <v>428</v>
      </c>
      <c r="H175" s="6">
        <v>1</v>
      </c>
      <c r="L175" s="6" t="s">
        <v>876</v>
      </c>
      <c r="M175" s="6" t="s">
        <v>876</v>
      </c>
      <c r="N175" s="6" t="s">
        <v>192</v>
      </c>
      <c r="O175" s="6" t="s">
        <v>876</v>
      </c>
      <c r="P175" s="6" t="s">
        <v>876</v>
      </c>
      <c r="Z175">
        <v>13</v>
      </c>
      <c r="AA175"/>
      <c r="AB175" s="61"/>
      <c r="AC175" s="61"/>
      <c r="AD175" s="62"/>
      <c r="AE175" s="63"/>
      <c r="AF175" s="63"/>
      <c r="AG175" s="4" t="s">
        <v>546</v>
      </c>
      <c r="AI175" s="2"/>
      <c r="AJ175" s="6" t="s">
        <v>1050</v>
      </c>
      <c r="AK175" s="3" t="s">
        <v>192</v>
      </c>
      <c r="AM175" s="6" t="s">
        <v>193</v>
      </c>
      <c r="EK175"/>
      <c r="EL175"/>
      <c r="EM175"/>
      <c r="EN175"/>
      <c r="EO175"/>
      <c r="EP175"/>
      <c r="EQ175"/>
      <c r="ER175" s="76">
        <v>4305.6399999999994</v>
      </c>
      <c r="ES175">
        <v>5407.37</v>
      </c>
      <c r="ET175">
        <v>3257.5533333333333</v>
      </c>
      <c r="EU175">
        <v>1717.18</v>
      </c>
      <c r="EV175">
        <v>3090.7366666666671</v>
      </c>
      <c r="FB175" s="78"/>
      <c r="GD175"/>
    </row>
    <row r="176" spans="1:186" s="6" customFormat="1" x14ac:dyDescent="0.2">
      <c r="A176" s="60" t="s">
        <v>1057</v>
      </c>
      <c r="B176" s="6" t="s">
        <v>1058</v>
      </c>
      <c r="C176" s="6" t="s">
        <v>1059</v>
      </c>
      <c r="D176" s="6" t="s">
        <v>876</v>
      </c>
      <c r="H176" s="6">
        <v>1</v>
      </c>
      <c r="L176" s="6" t="s">
        <v>876</v>
      </c>
      <c r="M176" s="6" t="s">
        <v>876</v>
      </c>
      <c r="N176" s="6" t="s">
        <v>876</v>
      </c>
      <c r="O176" s="6" t="s">
        <v>876</v>
      </c>
      <c r="P176" s="6" t="s">
        <v>876</v>
      </c>
      <c r="Z176"/>
      <c r="AA176"/>
      <c r="AB176" s="61"/>
      <c r="AC176" s="61"/>
      <c r="AD176" s="62"/>
      <c r="AE176" s="63"/>
      <c r="AF176" s="63"/>
      <c r="AG176" s="8" t="s">
        <v>568</v>
      </c>
      <c r="AI176" s="2"/>
      <c r="AJ176" s="6" t="s">
        <v>1059</v>
      </c>
      <c r="AM176" s="6" t="s">
        <v>193</v>
      </c>
      <c r="EK176"/>
      <c r="EL176"/>
      <c r="EM176"/>
      <c r="EN176"/>
      <c r="EO176"/>
      <c r="EP176"/>
      <c r="EQ176"/>
      <c r="FB176" s="78"/>
      <c r="GD176"/>
    </row>
    <row r="177" spans="1:186" s="6" customFormat="1" x14ac:dyDescent="0.2">
      <c r="A177" s="60" t="s">
        <v>1028</v>
      </c>
      <c r="B177" s="6" t="s">
        <v>1029</v>
      </c>
      <c r="C177" s="6" t="s">
        <v>548</v>
      </c>
      <c r="D177" s="6" t="s">
        <v>876</v>
      </c>
      <c r="G177" s="6">
        <v>1</v>
      </c>
      <c r="H177" s="6">
        <v>1</v>
      </c>
      <c r="L177" s="6" t="s">
        <v>876</v>
      </c>
      <c r="M177" s="6" t="s">
        <v>876</v>
      </c>
      <c r="N177" s="6" t="s">
        <v>188</v>
      </c>
      <c r="O177" s="6" t="s">
        <v>876</v>
      </c>
      <c r="P177" s="6" t="s">
        <v>876</v>
      </c>
      <c r="Z177"/>
      <c r="AA177"/>
      <c r="AB177" s="61"/>
      <c r="AC177" s="61"/>
      <c r="AD177" s="62"/>
      <c r="AE177" s="63"/>
      <c r="AF177" s="63"/>
      <c r="AG177" s="22" t="s">
        <v>547</v>
      </c>
      <c r="AI177" s="2"/>
      <c r="AJ177" s="3" t="s">
        <v>548</v>
      </c>
      <c r="AK177" s="3" t="s">
        <v>188</v>
      </c>
      <c r="AM177" s="6" t="s">
        <v>246</v>
      </c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  <c r="CK177"/>
      <c r="CL177"/>
      <c r="CM177"/>
      <c r="CN177"/>
      <c r="CO177"/>
      <c r="CP177"/>
      <c r="CQ177"/>
      <c r="CR177"/>
      <c r="CS177"/>
      <c r="CT177"/>
      <c r="CU177"/>
      <c r="CV177"/>
      <c r="CW177"/>
      <c r="CX177"/>
      <c r="CY177"/>
      <c r="CZ177"/>
      <c r="DA177"/>
      <c r="DB177"/>
      <c r="DC177"/>
      <c r="DD177"/>
      <c r="DE177"/>
      <c r="DF177"/>
      <c r="DG177"/>
      <c r="DH177"/>
      <c r="DI177"/>
      <c r="DJ177"/>
      <c r="DK177"/>
      <c r="DL177"/>
      <c r="DM177"/>
      <c r="DN177"/>
      <c r="DO177"/>
      <c r="DP177"/>
      <c r="DQ177"/>
      <c r="DR177"/>
      <c r="DS177"/>
      <c r="DT177"/>
      <c r="DU177"/>
      <c r="DV177"/>
      <c r="DW177"/>
      <c r="DX177"/>
      <c r="DY177"/>
      <c r="DZ177"/>
      <c r="EA177"/>
      <c r="EB177"/>
      <c r="EC177"/>
      <c r="ED177"/>
      <c r="EE177"/>
      <c r="EF177"/>
      <c r="EG177"/>
      <c r="EH177"/>
      <c r="EI177"/>
      <c r="EJ177"/>
      <c r="EK177"/>
      <c r="EL177"/>
      <c r="EM177"/>
      <c r="EN177"/>
      <c r="EO177"/>
      <c r="EP177"/>
      <c r="EQ177"/>
      <c r="ER177"/>
      <c r="ES177"/>
      <c r="ET177"/>
      <c r="EU177"/>
      <c r="EV177"/>
      <c r="EW177"/>
      <c r="EX177"/>
      <c r="EY177" s="76"/>
      <c r="EZ177"/>
      <c r="FA177"/>
      <c r="FB177"/>
      <c r="FC177"/>
      <c r="FD177"/>
      <c r="FE177"/>
      <c r="FF177"/>
      <c r="FG177"/>
      <c r="FH177"/>
      <c r="FI177"/>
      <c r="FJ177"/>
      <c r="FK177"/>
      <c r="FL177"/>
      <c r="FM177"/>
      <c r="FN177"/>
      <c r="FO177"/>
      <c r="FP177"/>
      <c r="FQ177"/>
      <c r="FR177"/>
      <c r="FS177"/>
      <c r="FT177"/>
      <c r="FU177"/>
      <c r="FV177"/>
      <c r="FW177"/>
      <c r="FX177"/>
      <c r="FY177"/>
      <c r="FZ177"/>
      <c r="GA177"/>
      <c r="GB177"/>
      <c r="GC177"/>
      <c r="GD177"/>
    </row>
    <row r="178" spans="1:186" x14ac:dyDescent="0.2">
      <c r="A178" s="60" t="s">
        <v>1083</v>
      </c>
      <c r="B178" s="6" t="s">
        <v>1084</v>
      </c>
      <c r="C178" s="6" t="s">
        <v>608</v>
      </c>
      <c r="D178" s="6" t="s">
        <v>876</v>
      </c>
      <c r="E178" s="6"/>
      <c r="F178" s="6"/>
      <c r="G178" s="6"/>
      <c r="H178" s="6">
        <v>1</v>
      </c>
      <c r="I178" s="6"/>
      <c r="J178" s="6"/>
      <c r="K178" s="6"/>
      <c r="L178" s="6" t="s">
        <v>876</v>
      </c>
      <c r="M178" s="6" t="s">
        <v>876</v>
      </c>
      <c r="N178" s="6" t="s">
        <v>197</v>
      </c>
      <c r="O178" s="6" t="s">
        <v>876</v>
      </c>
      <c r="P178" s="6" t="s">
        <v>876</v>
      </c>
      <c r="Q178" s="6"/>
      <c r="R178" s="6"/>
      <c r="S178" s="6"/>
      <c r="Z178" s="89">
        <v>10</v>
      </c>
      <c r="AA178" s="89"/>
      <c r="AB178" s="61"/>
      <c r="AC178" s="61"/>
      <c r="AD178" s="62"/>
      <c r="AE178" s="63"/>
      <c r="AF178" s="63"/>
      <c r="AG178" s="6" t="s">
        <v>618</v>
      </c>
      <c r="AH178" s="6"/>
      <c r="AI178" s="2"/>
      <c r="AJ178" s="6" t="s">
        <v>608</v>
      </c>
      <c r="AK178" s="3" t="s">
        <v>197</v>
      </c>
      <c r="AL178" s="6"/>
      <c r="AM178" s="6" t="s">
        <v>193</v>
      </c>
      <c r="AN178" s="6"/>
      <c r="EW178">
        <v>0</v>
      </c>
      <c r="EX178">
        <v>123.48333333333333</v>
      </c>
      <c r="EY178" s="76">
        <v>38.573333333333331</v>
      </c>
      <c r="EZ178">
        <v>0</v>
      </c>
      <c r="FA178">
        <v>58.032666666666671</v>
      </c>
    </row>
    <row r="179" spans="1:186" x14ac:dyDescent="0.2">
      <c r="A179" s="60" t="s">
        <v>1090</v>
      </c>
      <c r="B179" s="6" t="s">
        <v>1091</v>
      </c>
      <c r="C179" s="6" t="s">
        <v>613</v>
      </c>
      <c r="D179" s="6" t="s">
        <v>876</v>
      </c>
      <c r="E179" s="6"/>
      <c r="F179" s="6"/>
      <c r="G179" s="6"/>
      <c r="H179" s="6">
        <v>1</v>
      </c>
      <c r="I179" s="6"/>
      <c r="J179" s="6"/>
      <c r="K179" s="6"/>
      <c r="L179" s="6" t="s">
        <v>876</v>
      </c>
      <c r="M179" s="6" t="s">
        <v>1092</v>
      </c>
      <c r="N179" s="6" t="s">
        <v>197</v>
      </c>
      <c r="O179" s="6" t="s">
        <v>876</v>
      </c>
      <c r="P179" s="6" t="s">
        <v>876</v>
      </c>
      <c r="Q179" s="6"/>
      <c r="R179" s="6"/>
      <c r="S179" s="6"/>
      <c r="Z179" s="90">
        <v>251</v>
      </c>
      <c r="AA179" s="90"/>
      <c r="AB179" s="61"/>
      <c r="AC179" s="61"/>
      <c r="AD179" s="62"/>
      <c r="AE179" s="63"/>
      <c r="AF179" s="63"/>
      <c r="AG179" s="6" t="s">
        <v>621</v>
      </c>
      <c r="AH179" s="6"/>
      <c r="AI179" s="2"/>
      <c r="AJ179" s="6" t="s">
        <v>613</v>
      </c>
      <c r="AK179" s="3" t="s">
        <v>197</v>
      </c>
      <c r="AL179" s="6"/>
      <c r="AM179" s="6" t="s">
        <v>193</v>
      </c>
      <c r="AN179" s="6"/>
      <c r="EW179">
        <v>0</v>
      </c>
      <c r="EX179">
        <v>0</v>
      </c>
      <c r="EY179" s="91">
        <v>0</v>
      </c>
      <c r="EZ179">
        <v>0</v>
      </c>
      <c r="FA179">
        <v>81.986666666666665</v>
      </c>
    </row>
    <row r="180" spans="1:186" x14ac:dyDescent="0.2">
      <c r="A180" s="60" t="s">
        <v>1085</v>
      </c>
      <c r="B180" s="6" t="s">
        <v>1086</v>
      </c>
      <c r="C180" s="6" t="s">
        <v>609</v>
      </c>
      <c r="D180" s="6" t="s">
        <v>876</v>
      </c>
      <c r="E180" s="6"/>
      <c r="F180" s="6"/>
      <c r="G180" s="6"/>
      <c r="H180" s="6">
        <v>1</v>
      </c>
      <c r="I180" s="6"/>
      <c r="J180" s="6"/>
      <c r="K180" s="6"/>
      <c r="L180" s="6" t="s">
        <v>876</v>
      </c>
      <c r="M180" s="6" t="s">
        <v>876</v>
      </c>
      <c r="N180" s="6" t="s">
        <v>197</v>
      </c>
      <c r="O180" s="6" t="s">
        <v>876</v>
      </c>
      <c r="P180" s="6" t="s">
        <v>876</v>
      </c>
      <c r="Q180" s="6"/>
      <c r="R180" s="6"/>
      <c r="S180" s="6"/>
      <c r="Z180" s="90">
        <v>98</v>
      </c>
      <c r="AA180" s="90"/>
      <c r="AB180" s="61"/>
      <c r="AC180" s="61"/>
      <c r="AD180" s="62"/>
      <c r="AE180" s="63"/>
      <c r="AF180" s="63"/>
      <c r="AG180" s="6" t="s">
        <v>619</v>
      </c>
      <c r="AH180" s="6"/>
      <c r="AI180" s="2"/>
      <c r="AJ180" s="6" t="s">
        <v>609</v>
      </c>
      <c r="AK180" s="3" t="s">
        <v>197</v>
      </c>
      <c r="AL180" s="6"/>
      <c r="AM180" s="6" t="s">
        <v>193</v>
      </c>
      <c r="AN180" s="6"/>
      <c r="EW180">
        <v>311.25333333333333</v>
      </c>
      <c r="EX180">
        <v>716.98333333333323</v>
      </c>
      <c r="EY180" s="76">
        <v>4.1066666666666665</v>
      </c>
      <c r="EZ180">
        <v>10.566666666666665</v>
      </c>
      <c r="FA180">
        <v>41.493333333333332</v>
      </c>
    </row>
    <row r="181" spans="1:186" x14ac:dyDescent="0.2">
      <c r="A181" s="60" t="s">
        <v>1088</v>
      </c>
      <c r="B181" s="6" t="s">
        <v>1089</v>
      </c>
      <c r="C181" s="6" t="s">
        <v>611</v>
      </c>
      <c r="D181" s="6" t="s">
        <v>876</v>
      </c>
      <c r="E181" s="6"/>
      <c r="F181" s="6"/>
      <c r="G181" s="6"/>
      <c r="H181" s="6">
        <v>1</v>
      </c>
      <c r="I181" s="6"/>
      <c r="J181" s="6"/>
      <c r="K181" s="6"/>
      <c r="L181" s="6" t="s">
        <v>876</v>
      </c>
      <c r="M181" s="6" t="s">
        <v>876</v>
      </c>
      <c r="N181" s="6" t="s">
        <v>197</v>
      </c>
      <c r="O181" s="6" t="s">
        <v>876</v>
      </c>
      <c r="P181" s="6" t="s">
        <v>876</v>
      </c>
      <c r="Q181" s="6"/>
      <c r="R181" s="6"/>
      <c r="S181" s="6"/>
      <c r="Z181" s="90">
        <v>12</v>
      </c>
      <c r="AA181" s="90"/>
      <c r="AB181" s="61"/>
      <c r="AC181" s="61"/>
      <c r="AD181" s="62"/>
      <c r="AE181" s="63"/>
      <c r="AF181" s="63"/>
      <c r="AG181" s="6" t="s">
        <v>620</v>
      </c>
      <c r="AH181" s="6"/>
      <c r="AI181" s="2"/>
      <c r="AJ181" s="6" t="s">
        <v>611</v>
      </c>
      <c r="AK181" s="3" t="s">
        <v>197</v>
      </c>
      <c r="AL181" s="6"/>
      <c r="AM181" s="6" t="s">
        <v>193</v>
      </c>
      <c r="AN181" s="6"/>
      <c r="EW181">
        <v>0</v>
      </c>
      <c r="EX181">
        <v>0</v>
      </c>
      <c r="EY181" s="91">
        <v>0</v>
      </c>
      <c r="EZ181">
        <v>0</v>
      </c>
      <c r="FA181">
        <v>0</v>
      </c>
    </row>
    <row r="182" spans="1:186" x14ac:dyDescent="0.2">
      <c r="A182" s="60" t="s">
        <v>1072</v>
      </c>
      <c r="B182" s="6" t="s">
        <v>1073</v>
      </c>
      <c r="C182" s="6" t="s">
        <v>612</v>
      </c>
      <c r="D182" s="6" t="s">
        <v>876</v>
      </c>
      <c r="E182" s="6"/>
      <c r="F182" s="6"/>
      <c r="G182" s="6"/>
      <c r="H182" s="6">
        <v>1</v>
      </c>
      <c r="I182" s="6"/>
      <c r="J182" s="6"/>
      <c r="K182" s="6"/>
      <c r="L182" s="6" t="s">
        <v>876</v>
      </c>
      <c r="M182" s="6" t="s">
        <v>1074</v>
      </c>
      <c r="N182" s="6" t="s">
        <v>197</v>
      </c>
      <c r="O182" s="6" t="s">
        <v>876</v>
      </c>
      <c r="P182" s="6" t="s">
        <v>876</v>
      </c>
      <c r="Q182" s="6"/>
      <c r="R182" s="6"/>
      <c r="S182" s="6"/>
      <c r="Z182" s="90">
        <v>91</v>
      </c>
      <c r="AA182" s="90"/>
      <c r="AB182" s="61"/>
      <c r="AC182" s="61"/>
      <c r="AD182" s="62"/>
      <c r="AE182" s="63"/>
      <c r="AF182" s="63"/>
      <c r="AG182" s="6" t="s">
        <v>617</v>
      </c>
      <c r="AH182" s="6"/>
      <c r="AI182" s="2"/>
      <c r="AJ182" s="6" t="s">
        <v>612</v>
      </c>
      <c r="AK182" s="3" t="s">
        <v>197</v>
      </c>
      <c r="AL182" s="6"/>
      <c r="AM182" s="6" t="s">
        <v>193</v>
      </c>
      <c r="AN182" s="6"/>
      <c r="EW182">
        <v>0</v>
      </c>
      <c r="EX182">
        <v>0</v>
      </c>
      <c r="EY182" s="76">
        <v>37.300000000000004</v>
      </c>
      <c r="EZ182">
        <v>38.846666666666664</v>
      </c>
      <c r="FA182">
        <v>59.52</v>
      </c>
    </row>
    <row r="183" spans="1:186" x14ac:dyDescent="0.2">
      <c r="A183" s="60" t="s">
        <v>1077</v>
      </c>
      <c r="B183" s="6" t="s">
        <v>624</v>
      </c>
      <c r="C183" s="6" t="s">
        <v>604</v>
      </c>
      <c r="D183" s="6" t="s">
        <v>876</v>
      </c>
      <c r="E183" s="6"/>
      <c r="F183" s="6"/>
      <c r="G183" s="6"/>
      <c r="H183" s="6">
        <v>1</v>
      </c>
      <c r="I183" s="6"/>
      <c r="J183" s="6"/>
      <c r="K183" s="6"/>
      <c r="L183" s="6" t="s">
        <v>876</v>
      </c>
      <c r="M183" s="6" t="s">
        <v>822</v>
      </c>
      <c r="N183" s="6" t="s">
        <v>197</v>
      </c>
      <c r="O183" s="6" t="s">
        <v>876</v>
      </c>
      <c r="P183" s="6" t="s">
        <v>876</v>
      </c>
      <c r="Q183" s="6"/>
      <c r="R183" s="6"/>
      <c r="S183" s="6"/>
      <c r="Z183" s="90">
        <v>122</v>
      </c>
      <c r="AA183" s="90"/>
      <c r="AB183" s="61"/>
      <c r="AC183" s="61"/>
      <c r="AD183" s="62"/>
      <c r="AE183" s="63"/>
      <c r="AF183" s="63"/>
      <c r="AG183" s="6" t="s">
        <v>595</v>
      </c>
      <c r="AH183" s="6"/>
      <c r="AI183" s="2"/>
      <c r="AJ183" s="3" t="s">
        <v>604</v>
      </c>
      <c r="AK183" s="3" t="s">
        <v>197</v>
      </c>
      <c r="AL183" s="6"/>
      <c r="AM183" s="6" t="s">
        <v>193</v>
      </c>
      <c r="AN183" s="6"/>
      <c r="EW183" s="6">
        <v>0</v>
      </c>
      <c r="EX183" s="6">
        <v>0</v>
      </c>
      <c r="EY183" s="76">
        <v>45.553333333333335</v>
      </c>
      <c r="EZ183">
        <v>46.256666666666668</v>
      </c>
      <c r="FA183">
        <v>61.720000000000006</v>
      </c>
    </row>
    <row r="184" spans="1:186" x14ac:dyDescent="0.2">
      <c r="A184" s="60" t="s">
        <v>1080</v>
      </c>
      <c r="B184" s="6" t="s">
        <v>634</v>
      </c>
      <c r="C184" s="6" t="s">
        <v>606</v>
      </c>
      <c r="D184" s="6" t="s">
        <v>876</v>
      </c>
      <c r="E184" s="6"/>
      <c r="F184" s="6"/>
      <c r="G184" s="6"/>
      <c r="H184" s="6">
        <v>1</v>
      </c>
      <c r="I184" s="6"/>
      <c r="J184" s="6"/>
      <c r="K184" s="6"/>
      <c r="L184" s="6" t="s">
        <v>876</v>
      </c>
      <c r="M184" s="6" t="s">
        <v>1081</v>
      </c>
      <c r="N184" s="6" t="s">
        <v>197</v>
      </c>
      <c r="O184" s="6" t="s">
        <v>876</v>
      </c>
      <c r="P184" s="6" t="s">
        <v>876</v>
      </c>
      <c r="Q184" s="6"/>
      <c r="R184" s="6"/>
      <c r="S184" s="6"/>
      <c r="Z184" s="89">
        <v>139</v>
      </c>
      <c r="AA184" s="89"/>
      <c r="AB184" s="61"/>
      <c r="AC184" s="61"/>
      <c r="AD184" s="62"/>
      <c r="AE184" s="63"/>
      <c r="AF184" s="63"/>
      <c r="AG184" s="6" t="s">
        <v>597</v>
      </c>
      <c r="AH184" s="6"/>
      <c r="AI184" s="2"/>
      <c r="AJ184" s="6" t="s">
        <v>606</v>
      </c>
      <c r="AK184" s="3" t="s">
        <v>197</v>
      </c>
      <c r="AL184" s="6"/>
      <c r="AM184" s="6" t="s">
        <v>193</v>
      </c>
      <c r="AN184" s="6"/>
      <c r="EW184">
        <v>685.23</v>
      </c>
      <c r="EX184">
        <v>858.32333333333338</v>
      </c>
      <c r="EY184" s="76">
        <v>272.02666666666664</v>
      </c>
      <c r="EZ184">
        <v>859.06000000000006</v>
      </c>
      <c r="FA184">
        <v>1951.67</v>
      </c>
    </row>
    <row r="185" spans="1:186" x14ac:dyDescent="0.2">
      <c r="A185" s="60" t="s">
        <v>1082</v>
      </c>
      <c r="B185" s="6" t="s">
        <v>631</v>
      </c>
      <c r="C185" s="6" t="s">
        <v>607</v>
      </c>
      <c r="D185" s="6" t="s">
        <v>876</v>
      </c>
      <c r="E185" s="6"/>
      <c r="F185" s="6"/>
      <c r="G185" s="6"/>
      <c r="H185" s="6">
        <v>1</v>
      </c>
      <c r="I185" s="6"/>
      <c r="J185" s="6"/>
      <c r="K185" s="6"/>
      <c r="L185" s="6" t="s">
        <v>876</v>
      </c>
      <c r="M185" s="6" t="s">
        <v>876</v>
      </c>
      <c r="N185" s="6" t="s">
        <v>197</v>
      </c>
      <c r="O185" s="6" t="s">
        <v>876</v>
      </c>
      <c r="P185" s="6" t="s">
        <v>876</v>
      </c>
      <c r="Q185" s="6"/>
      <c r="R185" s="6"/>
      <c r="S185" s="6"/>
      <c r="Z185" s="90">
        <v>128</v>
      </c>
      <c r="AA185" s="90"/>
      <c r="AB185" s="61"/>
      <c r="AC185" s="61"/>
      <c r="AD185" s="62"/>
      <c r="AE185" s="63"/>
      <c r="AF185" s="63"/>
      <c r="AG185" s="6" t="s">
        <v>596</v>
      </c>
      <c r="AH185" s="6"/>
      <c r="AI185" s="2"/>
      <c r="AJ185" s="6" t="s">
        <v>607</v>
      </c>
      <c r="AK185" s="3" t="s">
        <v>197</v>
      </c>
      <c r="AL185" s="6"/>
      <c r="AM185" s="6" t="s">
        <v>193</v>
      </c>
      <c r="AN185" s="6"/>
      <c r="EW185">
        <v>1292.6099999999999</v>
      </c>
      <c r="EX185">
        <v>585.01333333333332</v>
      </c>
      <c r="EY185" s="76">
        <v>234.84666666666666</v>
      </c>
      <c r="EZ185">
        <v>957.30000000000007</v>
      </c>
      <c r="FA185">
        <v>1803.22</v>
      </c>
    </row>
    <row r="186" spans="1:186" x14ac:dyDescent="0.2">
      <c r="A186" s="60" t="s">
        <v>1087</v>
      </c>
      <c r="B186" s="6" t="s">
        <v>636</v>
      </c>
      <c r="C186" s="6" t="s">
        <v>610</v>
      </c>
      <c r="D186" s="6" t="s">
        <v>876</v>
      </c>
      <c r="E186" s="6"/>
      <c r="F186" s="6"/>
      <c r="G186" s="6"/>
      <c r="H186" s="6">
        <v>1</v>
      </c>
      <c r="I186" s="6"/>
      <c r="J186" s="6"/>
      <c r="K186" s="6"/>
      <c r="L186" s="6" t="s">
        <v>876</v>
      </c>
      <c r="M186" s="6" t="s">
        <v>876</v>
      </c>
      <c r="N186" s="6" t="s">
        <v>197</v>
      </c>
      <c r="O186" s="6" t="s">
        <v>876</v>
      </c>
      <c r="P186" s="6" t="s">
        <v>876</v>
      </c>
      <c r="Q186" s="6"/>
      <c r="R186" s="6"/>
      <c r="S186" s="6"/>
      <c r="Z186" s="89">
        <v>129</v>
      </c>
      <c r="AA186" s="89"/>
      <c r="AB186" s="61"/>
      <c r="AC186" s="61"/>
      <c r="AD186" s="62"/>
      <c r="AE186" s="63"/>
      <c r="AF186" s="63"/>
      <c r="AG186" s="6" t="s">
        <v>601</v>
      </c>
      <c r="AH186" s="6"/>
      <c r="AI186" s="2"/>
      <c r="AJ186" s="6" t="s">
        <v>610</v>
      </c>
      <c r="AK186" s="3" t="s">
        <v>197</v>
      </c>
      <c r="AL186" s="6"/>
      <c r="AM186" s="6" t="s">
        <v>193</v>
      </c>
      <c r="AN186" s="6"/>
      <c r="EW186">
        <v>211.51000000000002</v>
      </c>
      <c r="EX186">
        <v>640.08333333333337</v>
      </c>
      <c r="EY186" s="76">
        <v>32.936666666666667</v>
      </c>
      <c r="EZ186">
        <v>53.846666666666664</v>
      </c>
      <c r="FA186">
        <v>64.416666666666671</v>
      </c>
    </row>
    <row r="187" spans="1:186" x14ac:dyDescent="0.2">
      <c r="A187" s="60" t="s">
        <v>1075</v>
      </c>
      <c r="B187" s="6" t="s">
        <v>635</v>
      </c>
      <c r="C187" s="6" t="s">
        <v>603</v>
      </c>
      <c r="D187" s="6" t="s">
        <v>876</v>
      </c>
      <c r="E187" s="6"/>
      <c r="F187" s="6"/>
      <c r="G187" s="6"/>
      <c r="H187" s="6">
        <v>1</v>
      </c>
      <c r="I187" s="6"/>
      <c r="J187" s="6"/>
      <c r="K187" s="6"/>
      <c r="L187" s="6" t="s">
        <v>876</v>
      </c>
      <c r="M187" s="6" t="s">
        <v>1076</v>
      </c>
      <c r="N187" s="6" t="s">
        <v>197</v>
      </c>
      <c r="O187" s="6" t="s">
        <v>876</v>
      </c>
      <c r="P187" s="6" t="s">
        <v>876</v>
      </c>
      <c r="Q187" s="6"/>
      <c r="R187" s="6"/>
      <c r="S187" s="6"/>
      <c r="Z187" s="89">
        <v>198</v>
      </c>
      <c r="AA187" s="89"/>
      <c r="AB187" s="61"/>
      <c r="AC187" s="61"/>
      <c r="AD187" s="62"/>
      <c r="AE187" s="63"/>
      <c r="AF187" s="63"/>
      <c r="AG187" s="6" t="s">
        <v>598</v>
      </c>
      <c r="AH187" s="6"/>
      <c r="AI187" s="2"/>
      <c r="AJ187" s="6" t="s">
        <v>603</v>
      </c>
      <c r="AK187" s="3" t="s">
        <v>197</v>
      </c>
      <c r="AL187" s="6"/>
      <c r="AM187" s="6" t="s">
        <v>193</v>
      </c>
      <c r="AN187" s="6"/>
      <c r="EW187">
        <v>46.52</v>
      </c>
      <c r="EX187">
        <v>99.84666666666665</v>
      </c>
      <c r="EY187" s="76">
        <v>67.683333333333337</v>
      </c>
      <c r="EZ187">
        <v>78.790000000000006</v>
      </c>
      <c r="FA187">
        <v>117.67666666666668</v>
      </c>
    </row>
    <row r="188" spans="1:186" x14ac:dyDescent="0.2">
      <c r="A188" s="60" t="s">
        <v>1078</v>
      </c>
      <c r="B188" s="6" t="s">
        <v>625</v>
      </c>
      <c r="C188" s="6" t="s">
        <v>605</v>
      </c>
      <c r="D188" s="6" t="s">
        <v>876</v>
      </c>
      <c r="E188" s="6"/>
      <c r="F188" s="6"/>
      <c r="G188" s="6"/>
      <c r="H188" s="6">
        <v>1</v>
      </c>
      <c r="I188" s="6"/>
      <c r="J188" s="6"/>
      <c r="K188" s="6"/>
      <c r="L188" s="6" t="s">
        <v>876</v>
      </c>
      <c r="M188" s="6" t="s">
        <v>1079</v>
      </c>
      <c r="N188" s="6" t="s">
        <v>197</v>
      </c>
      <c r="O188" s="6" t="s">
        <v>876</v>
      </c>
      <c r="P188" s="6" t="s">
        <v>876</v>
      </c>
      <c r="Q188" s="6"/>
      <c r="R188" s="6"/>
      <c r="S188" s="6"/>
      <c r="Z188" s="90">
        <v>492</v>
      </c>
      <c r="AA188" s="90"/>
      <c r="AB188" s="61"/>
      <c r="AC188" s="61"/>
      <c r="AD188" s="62"/>
      <c r="AE188" s="63"/>
      <c r="AF188" s="63"/>
      <c r="AG188" s="6" t="s">
        <v>599</v>
      </c>
      <c r="AH188" s="6"/>
      <c r="AI188" s="2"/>
      <c r="AJ188" s="6" t="s">
        <v>605</v>
      </c>
      <c r="AK188" s="3" t="s">
        <v>197</v>
      </c>
      <c r="AL188" s="6"/>
      <c r="AM188" s="6" t="s">
        <v>193</v>
      </c>
      <c r="AN188" s="6"/>
      <c r="EW188">
        <v>653.46</v>
      </c>
      <c r="EX188">
        <v>1625.05</v>
      </c>
      <c r="EY188" s="76">
        <v>343.09333333333342</v>
      </c>
      <c r="EZ188">
        <v>899.11333333333334</v>
      </c>
      <c r="FA188">
        <v>1417.8133333333333</v>
      </c>
    </row>
    <row r="189" spans="1:186" x14ac:dyDescent="0.2">
      <c r="A189" s="60" t="s">
        <v>1062</v>
      </c>
      <c r="B189" s="6" t="s">
        <v>632</v>
      </c>
      <c r="C189" s="6" t="s">
        <v>602</v>
      </c>
      <c r="D189" s="6" t="s">
        <v>876</v>
      </c>
      <c r="E189" s="6"/>
      <c r="F189" s="6"/>
      <c r="G189" s="6"/>
      <c r="H189" s="6">
        <v>1</v>
      </c>
      <c r="I189" s="6"/>
      <c r="J189" s="6"/>
      <c r="K189" s="6"/>
      <c r="L189" s="6" t="s">
        <v>876</v>
      </c>
      <c r="M189" s="6" t="s">
        <v>680</v>
      </c>
      <c r="N189" s="6" t="s">
        <v>197</v>
      </c>
      <c r="O189" s="6" t="s">
        <v>876</v>
      </c>
      <c r="P189" s="6" t="s">
        <v>876</v>
      </c>
      <c r="Q189" s="6"/>
      <c r="R189" s="6"/>
      <c r="S189" s="6"/>
      <c r="Z189" s="89">
        <v>17</v>
      </c>
      <c r="AA189" s="89"/>
      <c r="AB189" s="61"/>
      <c r="AC189" s="61"/>
      <c r="AD189" s="62"/>
      <c r="AE189" s="63"/>
      <c r="AF189" s="63"/>
      <c r="AG189" s="6" t="s">
        <v>600</v>
      </c>
      <c r="AH189" s="6"/>
      <c r="AI189" s="2"/>
      <c r="AJ189" s="6" t="s">
        <v>602</v>
      </c>
      <c r="AK189" s="3" t="s">
        <v>197</v>
      </c>
      <c r="AL189" s="6"/>
      <c r="AM189" s="6" t="s">
        <v>193</v>
      </c>
      <c r="AN189" s="6"/>
      <c r="EW189">
        <v>4604.2466666666669</v>
      </c>
      <c r="EX189">
        <v>5537.1066666666666</v>
      </c>
      <c r="EY189" s="76">
        <v>1469.3166666666666</v>
      </c>
      <c r="EZ189">
        <v>680.63222222222214</v>
      </c>
      <c r="FA189">
        <v>1438.6266666666668</v>
      </c>
    </row>
    <row r="190" spans="1:186" x14ac:dyDescent="0.2">
      <c r="A190" s="60" t="s">
        <v>1063</v>
      </c>
      <c r="B190" s="6" t="s">
        <v>1064</v>
      </c>
      <c r="C190" s="6" t="s">
        <v>1065</v>
      </c>
      <c r="D190" s="6" t="s">
        <v>876</v>
      </c>
      <c r="E190" s="6"/>
      <c r="F190" s="6"/>
      <c r="G190" s="6"/>
      <c r="H190" s="6">
        <v>1</v>
      </c>
      <c r="I190" s="6"/>
      <c r="J190" s="6"/>
      <c r="K190" s="6"/>
      <c r="L190" s="6" t="s">
        <v>876</v>
      </c>
      <c r="M190" s="6" t="s">
        <v>876</v>
      </c>
      <c r="N190" s="6" t="s">
        <v>197</v>
      </c>
      <c r="O190" s="6" t="s">
        <v>876</v>
      </c>
      <c r="P190" s="6" t="s">
        <v>876</v>
      </c>
      <c r="Q190" s="6"/>
      <c r="R190" s="6"/>
      <c r="S190" s="6"/>
      <c r="Z190" s="90">
        <v>78</v>
      </c>
      <c r="AA190" s="90"/>
      <c r="AB190" s="61"/>
      <c r="AC190" s="61"/>
      <c r="AD190" s="62"/>
      <c r="AE190" s="63"/>
      <c r="AF190" s="63"/>
      <c r="AG190" s="6" t="s">
        <v>614</v>
      </c>
      <c r="AH190" s="6"/>
      <c r="AI190" s="2"/>
      <c r="AJ190" s="6" t="s">
        <v>1065</v>
      </c>
      <c r="AK190" s="3" t="s">
        <v>197</v>
      </c>
      <c r="AL190" s="6"/>
      <c r="AM190" s="6" t="s">
        <v>193</v>
      </c>
      <c r="AN190" s="6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2"/>
      <c r="DO190" s="12"/>
      <c r="DP190" s="12"/>
      <c r="DQ190" s="12"/>
      <c r="DS190" s="12"/>
      <c r="DT190" s="12"/>
      <c r="DU190" s="12"/>
      <c r="DV190" s="12"/>
      <c r="EW190">
        <v>0</v>
      </c>
      <c r="EX190">
        <v>0</v>
      </c>
      <c r="EY190" s="91">
        <v>0</v>
      </c>
      <c r="EZ190">
        <v>0</v>
      </c>
      <c r="FA190">
        <v>0</v>
      </c>
    </row>
    <row r="191" spans="1:186" x14ac:dyDescent="0.2">
      <c r="A191" s="60" t="s">
        <v>1066</v>
      </c>
      <c r="B191" s="6" t="s">
        <v>1067</v>
      </c>
      <c r="C191" s="6" t="s">
        <v>1068</v>
      </c>
      <c r="D191" s="6" t="s">
        <v>876</v>
      </c>
      <c r="E191" s="6"/>
      <c r="F191" s="6"/>
      <c r="G191" s="6"/>
      <c r="H191" s="6">
        <v>1</v>
      </c>
      <c r="I191" s="6"/>
      <c r="J191" s="6"/>
      <c r="K191" s="6"/>
      <c r="L191" s="6" t="s">
        <v>876</v>
      </c>
      <c r="M191" s="6" t="s">
        <v>876</v>
      </c>
      <c r="N191" s="6" t="s">
        <v>197</v>
      </c>
      <c r="O191" s="6" t="s">
        <v>876</v>
      </c>
      <c r="P191" s="6" t="s">
        <v>876</v>
      </c>
      <c r="Q191" s="6"/>
      <c r="R191" s="6"/>
      <c r="S191" s="6"/>
      <c r="Z191" s="90">
        <v>83</v>
      </c>
      <c r="AA191" s="90"/>
      <c r="AB191" s="61"/>
      <c r="AC191" s="61"/>
      <c r="AD191" s="62"/>
      <c r="AE191" s="63"/>
      <c r="AF191" s="63"/>
      <c r="AG191" s="6" t="s">
        <v>615</v>
      </c>
      <c r="AH191" s="6"/>
      <c r="AI191" s="2"/>
      <c r="AJ191" s="6" t="s">
        <v>1068</v>
      </c>
      <c r="AK191" s="3" t="s">
        <v>197</v>
      </c>
      <c r="AL191" s="6"/>
      <c r="AM191" s="6" t="s">
        <v>193</v>
      </c>
      <c r="AN191" s="6"/>
      <c r="EW191">
        <v>0</v>
      </c>
      <c r="EX191">
        <v>230.18333333333331</v>
      </c>
      <c r="EY191" s="76">
        <v>33.896666666666668</v>
      </c>
      <c r="EZ191">
        <v>34.076666666666661</v>
      </c>
      <c r="FA191">
        <v>75.489999999999995</v>
      </c>
    </row>
    <row r="192" spans="1:186" x14ac:dyDescent="0.2">
      <c r="A192" s="60" t="s">
        <v>1069</v>
      </c>
      <c r="B192" s="6" t="s">
        <v>1070</v>
      </c>
      <c r="C192" s="6" t="s">
        <v>1071</v>
      </c>
      <c r="D192" s="6" t="s">
        <v>876</v>
      </c>
      <c r="E192" s="6"/>
      <c r="F192" s="6"/>
      <c r="G192" s="6"/>
      <c r="H192" s="6">
        <v>1</v>
      </c>
      <c r="I192" s="6"/>
      <c r="J192" s="6"/>
      <c r="K192" s="6"/>
      <c r="L192" s="6" t="s">
        <v>876</v>
      </c>
      <c r="M192" s="6" t="s">
        <v>876</v>
      </c>
      <c r="N192" s="6" t="s">
        <v>197</v>
      </c>
      <c r="O192" s="6" t="s">
        <v>876</v>
      </c>
      <c r="P192" s="6" t="s">
        <v>876</v>
      </c>
      <c r="Q192" s="6"/>
      <c r="R192" s="6"/>
      <c r="S192" s="6"/>
      <c r="Z192" s="89">
        <v>31</v>
      </c>
      <c r="AA192" s="89"/>
      <c r="AB192" s="61"/>
      <c r="AC192" s="61"/>
      <c r="AD192" s="62"/>
      <c r="AE192" s="63"/>
      <c r="AF192" s="63"/>
      <c r="AG192" s="6" t="s">
        <v>616</v>
      </c>
      <c r="AH192" s="6"/>
      <c r="AI192" s="2"/>
      <c r="AJ192" s="6" t="s">
        <v>1071</v>
      </c>
      <c r="AK192" s="3" t="s">
        <v>197</v>
      </c>
      <c r="AL192" s="6"/>
      <c r="AM192" s="6" t="s">
        <v>193</v>
      </c>
      <c r="AN192" s="6"/>
      <c r="EW192">
        <v>0</v>
      </c>
      <c r="EX192">
        <v>64.646666666666661</v>
      </c>
      <c r="EY192" s="91">
        <v>0</v>
      </c>
      <c r="EZ192">
        <v>0</v>
      </c>
      <c r="FA192">
        <v>8.3433333333333337</v>
      </c>
    </row>
    <row r="193" spans="1:157" x14ac:dyDescent="0.2">
      <c r="A193" s="60" t="s">
        <v>1093</v>
      </c>
      <c r="B193" s="6" t="s">
        <v>1094</v>
      </c>
      <c r="C193" s="6" t="s">
        <v>1095</v>
      </c>
      <c r="D193" s="6" t="s">
        <v>876</v>
      </c>
      <c r="E193" s="6"/>
      <c r="F193" s="6"/>
      <c r="G193" s="6"/>
      <c r="H193" s="6">
        <v>1</v>
      </c>
      <c r="I193" s="6"/>
      <c r="J193" s="6"/>
      <c r="K193" s="6"/>
      <c r="L193" s="6" t="s">
        <v>876</v>
      </c>
      <c r="M193" s="6" t="s">
        <v>876</v>
      </c>
      <c r="N193" s="6" t="s">
        <v>197</v>
      </c>
      <c r="O193" s="6" t="s">
        <v>876</v>
      </c>
      <c r="P193" s="6" t="s">
        <v>876</v>
      </c>
      <c r="Q193" s="6"/>
      <c r="R193" s="6"/>
      <c r="S193" s="6"/>
      <c r="Z193" s="90">
        <v>16</v>
      </c>
      <c r="AA193" s="90"/>
      <c r="AB193" s="61"/>
      <c r="AC193" s="61"/>
      <c r="AD193" s="62"/>
      <c r="AE193" s="63"/>
      <c r="AF193" s="63"/>
      <c r="AG193" s="6" t="s">
        <v>622</v>
      </c>
      <c r="AH193" s="6"/>
      <c r="AI193" s="2"/>
      <c r="AJ193" s="6" t="s">
        <v>1095</v>
      </c>
      <c r="AK193" s="3" t="s">
        <v>197</v>
      </c>
      <c r="AL193" s="6"/>
      <c r="AM193" s="6" t="s">
        <v>193</v>
      </c>
      <c r="AN193" s="6"/>
      <c r="EW193">
        <v>122.51666666666667</v>
      </c>
      <c r="EX193">
        <v>232.05333333333331</v>
      </c>
      <c r="EY193" s="76">
        <v>32.936666666666667</v>
      </c>
      <c r="EZ193">
        <v>34.896666666666668</v>
      </c>
      <c r="FA193">
        <v>57.169999999999995</v>
      </c>
    </row>
    <row r="194" spans="1:157" x14ac:dyDescent="0.2">
      <c r="B194" s="92" t="s">
        <v>1231</v>
      </c>
      <c r="Z194" s="64">
        <v>49</v>
      </c>
      <c r="AA194" s="64"/>
      <c r="AB194" s="61"/>
      <c r="AC194" s="61"/>
      <c r="AD194" s="62"/>
      <c r="AE194" s="63"/>
      <c r="AF194" s="63"/>
    </row>
    <row r="195" spans="1:157" x14ac:dyDescent="0.2">
      <c r="B195" s="92" t="s">
        <v>1232</v>
      </c>
      <c r="Z195" s="84">
        <v>19</v>
      </c>
      <c r="AA195" s="84"/>
      <c r="AB195" s="61"/>
      <c r="AC195" s="61"/>
      <c r="AD195" s="62"/>
      <c r="AE195" s="63"/>
      <c r="AF195" s="63"/>
    </row>
    <row r="196" spans="1:157" x14ac:dyDescent="0.2">
      <c r="B196" s="92" t="s">
        <v>1233</v>
      </c>
      <c r="Z196" s="84">
        <v>28</v>
      </c>
      <c r="AA196" s="84"/>
      <c r="AB196" s="61"/>
      <c r="AC196" s="61"/>
      <c r="AD196" s="62"/>
      <c r="AE196" s="63"/>
      <c r="AF196" s="63"/>
    </row>
    <row r="197" spans="1:157" x14ac:dyDescent="0.2">
      <c r="B197" s="92" t="s">
        <v>1234</v>
      </c>
      <c r="Z197" s="64">
        <v>81</v>
      </c>
      <c r="AA197" s="64"/>
      <c r="AB197" s="61"/>
      <c r="AC197" s="61"/>
      <c r="AD197" s="62"/>
      <c r="AE197" s="63"/>
      <c r="AF197" s="63"/>
    </row>
    <row r="198" spans="1:157" x14ac:dyDescent="0.2">
      <c r="B198" s="92" t="s">
        <v>633</v>
      </c>
      <c r="Z198" s="84">
        <v>9</v>
      </c>
      <c r="AA198" s="84"/>
      <c r="AB198" s="61"/>
      <c r="AC198" s="61"/>
      <c r="AD198" s="62"/>
      <c r="AE198" s="63"/>
      <c r="AF198" s="63"/>
    </row>
    <row r="199" spans="1:157" x14ac:dyDescent="0.2">
      <c r="B199" s="92" t="s">
        <v>637</v>
      </c>
      <c r="Z199" s="84">
        <v>89</v>
      </c>
      <c r="AA199" s="84"/>
      <c r="AB199" s="61"/>
      <c r="AC199" s="61"/>
      <c r="AD199" s="62"/>
      <c r="AE199" s="63"/>
      <c r="AF199" s="63"/>
    </row>
    <row r="200" spans="1:157" x14ac:dyDescent="0.2">
      <c r="B200" s="92" t="s">
        <v>1235</v>
      </c>
      <c r="Z200" s="84">
        <v>20</v>
      </c>
      <c r="AA200" s="84"/>
      <c r="AB200" s="61"/>
      <c r="AC200" s="61"/>
      <c r="AD200" s="62"/>
      <c r="AE200" s="63"/>
      <c r="AF200" s="63"/>
    </row>
    <row r="201" spans="1:157" x14ac:dyDescent="0.2">
      <c r="B201" s="92" t="s">
        <v>630</v>
      </c>
      <c r="Z201" s="64">
        <v>120</v>
      </c>
      <c r="AA201" s="64"/>
      <c r="AB201" s="61"/>
      <c r="AC201" s="61"/>
      <c r="AD201" s="62"/>
      <c r="AE201" s="63"/>
      <c r="AF201" s="63"/>
    </row>
    <row r="202" spans="1:157" x14ac:dyDescent="0.2">
      <c r="B202" s="92" t="s">
        <v>638</v>
      </c>
      <c r="Z202" s="84">
        <v>129</v>
      </c>
      <c r="AA202" s="84"/>
      <c r="AB202" s="61"/>
      <c r="AC202" s="61"/>
      <c r="AD202" s="62"/>
      <c r="AE202" s="63"/>
      <c r="AF202" s="63"/>
    </row>
    <row r="203" spans="1:157" x14ac:dyDescent="0.2">
      <c r="B203" s="92" t="s">
        <v>623</v>
      </c>
      <c r="Z203" s="64">
        <v>431</v>
      </c>
      <c r="AA203" s="64"/>
      <c r="AB203" s="61"/>
      <c r="AC203" s="61"/>
      <c r="AD203" s="62"/>
      <c r="AE203" s="63"/>
      <c r="AF203" s="63"/>
    </row>
    <row r="204" spans="1:157" x14ac:dyDescent="0.2">
      <c r="B204" s="92" t="s">
        <v>1236</v>
      </c>
      <c r="Z204" s="64">
        <v>71</v>
      </c>
      <c r="AA204" s="64"/>
      <c r="AB204" s="61"/>
      <c r="AC204" s="61"/>
      <c r="AD204" s="62"/>
      <c r="AE204" s="63"/>
      <c r="AF204" s="63"/>
    </row>
    <row r="205" spans="1:157" x14ac:dyDescent="0.2">
      <c r="AB205" s="61"/>
      <c r="AC205" s="61"/>
      <c r="AD205" s="62"/>
      <c r="AE205" s="63"/>
      <c r="AF205" s="63"/>
    </row>
    <row r="206" spans="1:157" x14ac:dyDescent="0.2">
      <c r="AB206" s="61"/>
      <c r="AC206" s="61"/>
      <c r="AD206" s="62"/>
      <c r="AE206" s="63"/>
      <c r="AF206" s="63"/>
    </row>
    <row r="207" spans="1:157" x14ac:dyDescent="0.2">
      <c r="AB207" s="61"/>
      <c r="AC207" s="61"/>
      <c r="AD207" s="62"/>
      <c r="AE207" s="63"/>
      <c r="AF207" s="63"/>
    </row>
    <row r="208" spans="1:157" x14ac:dyDescent="0.2">
      <c r="AB208" s="61"/>
      <c r="AC208" s="61"/>
      <c r="AD208" s="62"/>
      <c r="AE208" s="63"/>
      <c r="AF208" s="63"/>
    </row>
    <row r="209" spans="28:32" x14ac:dyDescent="0.2">
      <c r="AB209" s="61"/>
      <c r="AC209" s="61"/>
      <c r="AD209" s="62"/>
      <c r="AE209" s="63"/>
      <c r="AF209" s="63"/>
    </row>
    <row r="210" spans="28:32" x14ac:dyDescent="0.2">
      <c r="AB210" s="61"/>
      <c r="AC210" s="61"/>
      <c r="AD210" s="62"/>
      <c r="AE210" s="63"/>
      <c r="AF210" s="63"/>
    </row>
    <row r="211" spans="28:32" x14ac:dyDescent="0.2">
      <c r="AB211" s="61"/>
      <c r="AC211" s="61"/>
      <c r="AD211" s="62"/>
      <c r="AE211" s="63"/>
      <c r="AF211" s="63"/>
    </row>
    <row r="212" spans="28:32" x14ac:dyDescent="0.2">
      <c r="AB212" s="61"/>
      <c r="AC212" s="61"/>
      <c r="AD212" s="62"/>
      <c r="AE212" s="63"/>
      <c r="AF212" s="63"/>
    </row>
    <row r="213" spans="28:32" x14ac:dyDescent="0.2">
      <c r="AB213" s="61"/>
      <c r="AC213" s="61"/>
      <c r="AD213" s="62"/>
      <c r="AE213" s="63"/>
      <c r="AF213" s="63"/>
    </row>
    <row r="214" spans="28:32" x14ac:dyDescent="0.2">
      <c r="AB214" s="61"/>
      <c r="AC214" s="61"/>
      <c r="AD214" s="62"/>
      <c r="AE214" s="63"/>
      <c r="AF214" s="63"/>
    </row>
    <row r="215" spans="28:32" x14ac:dyDescent="0.2">
      <c r="AB215" s="61"/>
      <c r="AC215" s="61"/>
      <c r="AD215" s="62"/>
      <c r="AE215" s="63"/>
      <c r="AF215" s="63"/>
    </row>
    <row r="216" spans="28:32" x14ac:dyDescent="0.2">
      <c r="AB216" s="61"/>
      <c r="AC216" s="61"/>
      <c r="AD216" s="62"/>
      <c r="AE216" s="63"/>
      <c r="AF216" s="63"/>
    </row>
    <row r="217" spans="28:32" x14ac:dyDescent="0.2">
      <c r="AB217" s="61"/>
      <c r="AC217" s="61"/>
      <c r="AD217" s="62"/>
      <c r="AE217" s="63"/>
      <c r="AF217" s="63"/>
    </row>
    <row r="218" spans="28:32" x14ac:dyDescent="0.2">
      <c r="AB218" s="61"/>
      <c r="AC218" s="61"/>
      <c r="AD218" s="62"/>
      <c r="AE218" s="63"/>
      <c r="AF218" s="63"/>
    </row>
    <row r="219" spans="28:32" x14ac:dyDescent="0.2">
      <c r="AB219" s="61"/>
      <c r="AC219" s="61"/>
      <c r="AD219" s="62"/>
      <c r="AE219" s="63"/>
      <c r="AF219" s="63"/>
    </row>
    <row r="220" spans="28:32" x14ac:dyDescent="0.2">
      <c r="AB220" s="61"/>
      <c r="AC220" s="61"/>
      <c r="AD220" s="62"/>
      <c r="AE220" s="63"/>
      <c r="AF220" s="63"/>
    </row>
    <row r="221" spans="28:32" x14ac:dyDescent="0.2">
      <c r="AB221" s="61"/>
      <c r="AC221" s="61"/>
      <c r="AD221" s="62"/>
      <c r="AE221" s="63"/>
      <c r="AF221" s="63"/>
    </row>
    <row r="222" spans="28:32" x14ac:dyDescent="0.2">
      <c r="AB222" s="61"/>
      <c r="AC222" s="61"/>
      <c r="AD222" s="62"/>
      <c r="AE222" s="63"/>
      <c r="AF222" s="63"/>
    </row>
    <row r="223" spans="28:32" x14ac:dyDescent="0.2">
      <c r="AB223" s="61"/>
      <c r="AC223" s="61"/>
      <c r="AD223" s="62"/>
      <c r="AE223" s="63"/>
      <c r="AF223" s="63"/>
    </row>
    <row r="224" spans="28:32" x14ac:dyDescent="0.2">
      <c r="AB224" s="61"/>
      <c r="AC224" s="61"/>
      <c r="AD224" s="62"/>
      <c r="AE224" s="63"/>
      <c r="AF224" s="63"/>
    </row>
    <row r="225" spans="28:32" x14ac:dyDescent="0.2">
      <c r="AB225" s="61"/>
      <c r="AC225" s="61"/>
      <c r="AD225" s="62"/>
      <c r="AE225" s="63"/>
      <c r="AF225" s="63"/>
    </row>
    <row r="226" spans="28:32" x14ac:dyDescent="0.2">
      <c r="AB226" s="61"/>
      <c r="AC226" s="61"/>
      <c r="AD226" s="62"/>
      <c r="AE226" s="63"/>
      <c r="AF226" s="63"/>
    </row>
    <row r="227" spans="28:32" x14ac:dyDescent="0.2">
      <c r="AB227" s="61"/>
      <c r="AC227" s="61"/>
      <c r="AD227" s="62"/>
      <c r="AE227" s="63"/>
      <c r="AF227" s="63"/>
    </row>
    <row r="228" spans="28:32" x14ac:dyDescent="0.2">
      <c r="AB228" s="61"/>
      <c r="AC228" s="61"/>
      <c r="AD228" s="62"/>
      <c r="AE228" s="63"/>
      <c r="AF228" s="63"/>
    </row>
    <row r="229" spans="28:32" x14ac:dyDescent="0.2">
      <c r="AB229" s="61"/>
      <c r="AC229" s="61"/>
      <c r="AD229" s="62"/>
      <c r="AE229" s="63"/>
      <c r="AF229" s="63"/>
    </row>
    <row r="230" spans="28:32" x14ac:dyDescent="0.2">
      <c r="AB230" s="61"/>
      <c r="AC230" s="61"/>
      <c r="AD230" s="62"/>
      <c r="AE230" s="63"/>
      <c r="AF230" s="63"/>
    </row>
    <row r="231" spans="28:32" x14ac:dyDescent="0.2">
      <c r="AB231" s="61"/>
      <c r="AC231" s="61"/>
      <c r="AD231" s="62"/>
      <c r="AE231" s="63"/>
      <c r="AF231" s="63"/>
    </row>
    <row r="232" spans="28:32" x14ac:dyDescent="0.2">
      <c r="AB232" s="61"/>
      <c r="AC232" s="61"/>
      <c r="AD232" s="62"/>
      <c r="AE232" s="63"/>
      <c r="AF232" s="63"/>
    </row>
    <row r="233" spans="28:32" x14ac:dyDescent="0.2">
      <c r="AB233" s="61"/>
      <c r="AC233" s="61"/>
      <c r="AD233" s="62"/>
      <c r="AE233" s="63"/>
      <c r="AF233" s="63"/>
    </row>
    <row r="234" spans="28:32" x14ac:dyDescent="0.2">
      <c r="AB234" s="61"/>
      <c r="AC234" s="61"/>
      <c r="AD234" s="62"/>
      <c r="AE234" s="63"/>
      <c r="AF234" s="63"/>
    </row>
    <row r="235" spans="28:32" x14ac:dyDescent="0.2">
      <c r="AB235" s="61"/>
      <c r="AC235" s="61"/>
      <c r="AD235" s="62"/>
      <c r="AE235" s="63"/>
      <c r="AF235" s="63"/>
    </row>
    <row r="236" spans="28:32" x14ac:dyDescent="0.2">
      <c r="AB236" s="61"/>
      <c r="AC236" s="61"/>
      <c r="AD236" s="62"/>
      <c r="AE236" s="63"/>
      <c r="AF236" s="63"/>
    </row>
    <row r="237" spans="28:32" x14ac:dyDescent="0.2">
      <c r="AB237" s="61"/>
      <c r="AC237" s="61"/>
      <c r="AD237" s="62"/>
      <c r="AE237" s="63"/>
      <c r="AF237" s="63"/>
    </row>
    <row r="238" spans="28:32" x14ac:dyDescent="0.2">
      <c r="AB238" s="61"/>
      <c r="AC238" s="61"/>
      <c r="AD238" s="62"/>
      <c r="AE238" s="63"/>
      <c r="AF238" s="63"/>
    </row>
    <row r="239" spans="28:32" x14ac:dyDescent="0.2">
      <c r="AB239" s="61"/>
      <c r="AC239" s="61"/>
      <c r="AD239" s="62"/>
      <c r="AE239" s="63"/>
      <c r="AF239" s="63"/>
    </row>
    <row r="240" spans="28:32" x14ac:dyDescent="0.2">
      <c r="AB240" s="61"/>
      <c r="AC240" s="61"/>
      <c r="AD240" s="62"/>
      <c r="AE240" s="63"/>
      <c r="AF240" s="63"/>
    </row>
    <row r="241" spans="28:32" x14ac:dyDescent="0.2">
      <c r="AB241" s="61"/>
      <c r="AC241" s="61"/>
      <c r="AD241" s="62"/>
      <c r="AE241" s="63"/>
      <c r="AF241" s="63"/>
    </row>
    <row r="242" spans="28:32" x14ac:dyDescent="0.2">
      <c r="AB242" s="61"/>
      <c r="AC242" s="61"/>
      <c r="AD242" s="62"/>
      <c r="AE242" s="63"/>
      <c r="AF242" s="63"/>
    </row>
    <row r="243" spans="28:32" x14ac:dyDescent="0.2">
      <c r="AB243" s="61"/>
      <c r="AC243" s="61"/>
      <c r="AD243" s="62"/>
      <c r="AE243" s="63"/>
      <c r="AF243" s="63"/>
    </row>
    <row r="244" spans="28:32" x14ac:dyDescent="0.2">
      <c r="AB244" s="61"/>
      <c r="AC244" s="61"/>
      <c r="AD244" s="62"/>
      <c r="AE244" s="63"/>
      <c r="AF244" s="63"/>
    </row>
    <row r="245" spans="28:32" x14ac:dyDescent="0.2">
      <c r="AB245" s="61"/>
      <c r="AC245" s="61"/>
      <c r="AD245" s="62"/>
      <c r="AE245" s="63"/>
      <c r="AF245" s="63"/>
    </row>
    <row r="246" spans="28:32" x14ac:dyDescent="0.2">
      <c r="AB246" s="61"/>
      <c r="AC246" s="61"/>
      <c r="AD246" s="62"/>
      <c r="AE246" s="63"/>
      <c r="AF246" s="63"/>
    </row>
    <row r="247" spans="28:32" x14ac:dyDescent="0.2">
      <c r="AB247" s="61"/>
      <c r="AC247" s="61"/>
      <c r="AD247" s="62"/>
      <c r="AE247" s="63"/>
      <c r="AF247" s="63"/>
    </row>
    <row r="248" spans="28:32" x14ac:dyDescent="0.2">
      <c r="AB248" s="61"/>
      <c r="AC248" s="61"/>
      <c r="AD248" s="62"/>
      <c r="AE248" s="63"/>
      <c r="AF248" s="63"/>
    </row>
    <row r="249" spans="28:32" x14ac:dyDescent="0.2">
      <c r="AB249" s="61"/>
      <c r="AC249" s="61"/>
      <c r="AD249" s="62"/>
      <c r="AE249" s="63"/>
      <c r="AF249" s="63"/>
    </row>
    <row r="250" spans="28:32" x14ac:dyDescent="0.2">
      <c r="AB250" s="61"/>
      <c r="AC250" s="61"/>
      <c r="AD250" s="62"/>
      <c r="AE250" s="63"/>
      <c r="AF250" s="63"/>
    </row>
    <row r="251" spans="28:32" x14ac:dyDescent="0.2">
      <c r="AB251" s="61"/>
      <c r="AC251" s="61"/>
      <c r="AD251" s="62"/>
      <c r="AE251" s="63"/>
      <c r="AF251" s="63"/>
    </row>
    <row r="252" spans="28:32" x14ac:dyDescent="0.2">
      <c r="AB252" s="61"/>
      <c r="AC252" s="61"/>
      <c r="AD252" s="62"/>
      <c r="AE252" s="63"/>
      <c r="AF252" s="63"/>
    </row>
    <row r="253" spans="28:32" x14ac:dyDescent="0.2">
      <c r="AB253" s="61"/>
      <c r="AC253" s="61"/>
      <c r="AD253" s="62"/>
      <c r="AE253" s="63"/>
      <c r="AF253" s="63"/>
    </row>
    <row r="254" spans="28:32" x14ac:dyDescent="0.2">
      <c r="AB254" s="61"/>
      <c r="AC254" s="61"/>
      <c r="AD254" s="62"/>
      <c r="AE254" s="63"/>
      <c r="AF254" s="63"/>
    </row>
    <row r="255" spans="28:32" x14ac:dyDescent="0.2">
      <c r="AB255" s="61"/>
      <c r="AC255" s="61"/>
      <c r="AD255" s="62"/>
      <c r="AE255" s="63"/>
      <c r="AF255" s="63"/>
    </row>
    <row r="256" spans="28:32" x14ac:dyDescent="0.2">
      <c r="AB256" s="61"/>
      <c r="AC256" s="61"/>
      <c r="AD256" s="62"/>
      <c r="AE256" s="63"/>
      <c r="AF256" s="63"/>
    </row>
    <row r="257" spans="28:32" x14ac:dyDescent="0.2">
      <c r="AB257" s="61"/>
      <c r="AC257" s="61"/>
      <c r="AD257" s="62"/>
      <c r="AE257" s="63"/>
      <c r="AF257" s="63"/>
    </row>
    <row r="258" spans="28:32" x14ac:dyDescent="0.2">
      <c r="AB258" s="61"/>
      <c r="AC258" s="61"/>
      <c r="AD258" s="62"/>
      <c r="AE258" s="63"/>
      <c r="AF258" s="63"/>
    </row>
    <row r="259" spans="28:32" x14ac:dyDescent="0.2">
      <c r="AB259" s="61"/>
      <c r="AC259" s="61"/>
      <c r="AD259" s="62"/>
      <c r="AE259" s="63"/>
      <c r="AF259" s="63"/>
    </row>
    <row r="260" spans="28:32" x14ac:dyDescent="0.2">
      <c r="AB260" s="61"/>
      <c r="AC260" s="61"/>
      <c r="AD260" s="62"/>
      <c r="AE260" s="63"/>
      <c r="AF260" s="63"/>
    </row>
    <row r="261" spans="28:32" x14ac:dyDescent="0.2">
      <c r="AB261" s="61"/>
      <c r="AC261" s="61"/>
      <c r="AD261" s="62"/>
      <c r="AE261" s="63"/>
      <c r="AF261" s="63"/>
    </row>
    <row r="262" spans="28:32" x14ac:dyDescent="0.2">
      <c r="AB262" s="61"/>
      <c r="AC262" s="61"/>
      <c r="AD262" s="62"/>
      <c r="AE262" s="63"/>
      <c r="AF262" s="63"/>
    </row>
    <row r="263" spans="28:32" x14ac:dyDescent="0.2">
      <c r="AB263" s="61"/>
      <c r="AC263" s="61"/>
      <c r="AD263" s="62"/>
      <c r="AE263" s="63"/>
      <c r="AF263" s="63"/>
    </row>
    <row r="264" spans="28:32" x14ac:dyDescent="0.2">
      <c r="AB264" s="61"/>
      <c r="AC264" s="61"/>
      <c r="AD264" s="62"/>
      <c r="AE264" s="63"/>
      <c r="AF264" s="63"/>
    </row>
    <row r="265" spans="28:32" x14ac:dyDescent="0.2">
      <c r="AB265" s="61"/>
      <c r="AC265" s="61"/>
      <c r="AD265" s="62"/>
      <c r="AE265" s="63"/>
      <c r="AF265" s="63"/>
    </row>
    <row r="266" spans="28:32" x14ac:dyDescent="0.2">
      <c r="AB266" s="61"/>
      <c r="AC266" s="61"/>
      <c r="AD266" s="62"/>
      <c r="AE266" s="63"/>
      <c r="AF266" s="63"/>
    </row>
    <row r="267" spans="28:32" x14ac:dyDescent="0.2">
      <c r="AB267" s="61"/>
      <c r="AC267" s="61"/>
      <c r="AD267" s="62"/>
      <c r="AE267" s="63"/>
      <c r="AF267" s="63"/>
    </row>
    <row r="268" spans="28:32" x14ac:dyDescent="0.2">
      <c r="AB268" s="61"/>
      <c r="AC268" s="61"/>
      <c r="AD268" s="62"/>
      <c r="AE268" s="63"/>
      <c r="AF268" s="63"/>
    </row>
    <row r="269" spans="28:32" x14ac:dyDescent="0.2">
      <c r="AB269" s="61"/>
      <c r="AC269" s="61"/>
      <c r="AD269" s="62"/>
      <c r="AE269" s="63"/>
      <c r="AF269" s="63"/>
    </row>
    <row r="270" spans="28:32" x14ac:dyDescent="0.2">
      <c r="AB270" s="61"/>
      <c r="AC270" s="61"/>
      <c r="AD270" s="62"/>
      <c r="AE270" s="63"/>
      <c r="AF270" s="63"/>
    </row>
    <row r="271" spans="28:32" x14ac:dyDescent="0.2">
      <c r="AB271" s="61"/>
      <c r="AC271" s="61"/>
      <c r="AD271" s="62"/>
      <c r="AE271" s="63"/>
      <c r="AF271" s="63"/>
    </row>
    <row r="272" spans="28:32" x14ac:dyDescent="0.2">
      <c r="AB272" s="61"/>
      <c r="AC272" s="61"/>
      <c r="AD272" s="62"/>
      <c r="AE272" s="63"/>
      <c r="AF272" s="63"/>
    </row>
    <row r="273" spans="28:32" x14ac:dyDescent="0.2">
      <c r="AB273" s="61"/>
      <c r="AC273" s="61"/>
      <c r="AD273" s="62"/>
      <c r="AE273" s="63"/>
      <c r="AF273" s="63"/>
    </row>
    <row r="274" spans="28:32" x14ac:dyDescent="0.2">
      <c r="AB274" s="61"/>
      <c r="AC274" s="61"/>
      <c r="AD274" s="62"/>
      <c r="AE274" s="63"/>
      <c r="AF274" s="63"/>
    </row>
    <row r="275" spans="28:32" x14ac:dyDescent="0.2">
      <c r="AB275" s="61"/>
      <c r="AC275" s="61"/>
      <c r="AD275" s="62"/>
      <c r="AE275" s="63"/>
      <c r="AF275" s="63"/>
    </row>
    <row r="276" spans="28:32" x14ac:dyDescent="0.2">
      <c r="AB276" s="61"/>
      <c r="AC276" s="61"/>
      <c r="AD276" s="62"/>
      <c r="AE276" s="63"/>
      <c r="AF276" s="63"/>
    </row>
    <row r="277" spans="28:32" x14ac:dyDescent="0.2">
      <c r="AB277" s="61"/>
      <c r="AC277" s="61"/>
      <c r="AD277" s="62"/>
      <c r="AE277" s="63"/>
      <c r="AF277" s="63"/>
    </row>
    <row r="278" spans="28:32" x14ac:dyDescent="0.2">
      <c r="AB278" s="61"/>
      <c r="AC278" s="61"/>
      <c r="AD278" s="62"/>
      <c r="AE278" s="63"/>
      <c r="AF278" s="63"/>
    </row>
    <row r="279" spans="28:32" x14ac:dyDescent="0.2">
      <c r="AB279" s="61"/>
      <c r="AC279" s="61"/>
      <c r="AD279" s="62"/>
      <c r="AE279" s="63"/>
      <c r="AF279" s="63"/>
    </row>
    <row r="280" spans="28:32" x14ac:dyDescent="0.2">
      <c r="AB280" s="61"/>
      <c r="AC280" s="61"/>
      <c r="AD280" s="62"/>
      <c r="AE280" s="63"/>
      <c r="AF280" s="63"/>
    </row>
    <row r="281" spans="28:32" x14ac:dyDescent="0.2">
      <c r="AB281" s="61"/>
      <c r="AC281" s="61"/>
      <c r="AD281" s="62"/>
      <c r="AE281" s="63"/>
      <c r="AF281" s="63"/>
    </row>
    <row r="282" spans="28:32" x14ac:dyDescent="0.2">
      <c r="AB282" s="61"/>
      <c r="AC282" s="61"/>
      <c r="AD282" s="62"/>
      <c r="AE282" s="63"/>
      <c r="AF282" s="63"/>
    </row>
    <row r="283" spans="28:32" x14ac:dyDescent="0.2">
      <c r="AB283" s="61"/>
      <c r="AC283" s="61"/>
      <c r="AD283" s="62"/>
      <c r="AE283" s="63"/>
      <c r="AF283" s="63"/>
    </row>
    <row r="284" spans="28:32" x14ac:dyDescent="0.2">
      <c r="AB284" s="61"/>
      <c r="AC284" s="61"/>
      <c r="AD284" s="62"/>
      <c r="AE284" s="63"/>
      <c r="AF284" s="63"/>
    </row>
    <row r="285" spans="28:32" x14ac:dyDescent="0.2">
      <c r="AB285" s="61"/>
      <c r="AC285" s="61"/>
      <c r="AD285" s="62"/>
      <c r="AE285" s="63"/>
      <c r="AF285" s="63"/>
    </row>
    <row r="286" spans="28:32" x14ac:dyDescent="0.2">
      <c r="AB286" s="61"/>
      <c r="AC286" s="61"/>
      <c r="AD286" s="62"/>
      <c r="AE286" s="63"/>
      <c r="AF286" s="63"/>
    </row>
    <row r="287" spans="28:32" x14ac:dyDescent="0.2">
      <c r="AB287" s="61"/>
      <c r="AC287" s="61"/>
      <c r="AD287" s="62"/>
      <c r="AE287" s="63"/>
      <c r="AF287" s="63"/>
    </row>
    <row r="288" spans="28:32" x14ac:dyDescent="0.2">
      <c r="AB288" s="61"/>
      <c r="AC288" s="61"/>
      <c r="AD288" s="62"/>
      <c r="AE288" s="63"/>
      <c r="AF288" s="63"/>
    </row>
    <row r="289" spans="28:32" x14ac:dyDescent="0.2">
      <c r="AB289" s="61"/>
      <c r="AC289" s="61"/>
      <c r="AD289" s="62"/>
      <c r="AE289" s="63"/>
      <c r="AF289" s="63"/>
    </row>
    <row r="290" spans="28:32" x14ac:dyDescent="0.2">
      <c r="AB290" s="61"/>
      <c r="AC290" s="61"/>
      <c r="AD290" s="62"/>
      <c r="AE290" s="63"/>
      <c r="AF290" s="63"/>
    </row>
    <row r="291" spans="28:32" x14ac:dyDescent="0.2">
      <c r="AB291" s="61"/>
      <c r="AC291" s="61"/>
      <c r="AD291" s="62"/>
      <c r="AE291" s="63"/>
      <c r="AF291" s="63"/>
    </row>
    <row r="292" spans="28:32" x14ac:dyDescent="0.2">
      <c r="AB292" s="61"/>
      <c r="AC292" s="61"/>
      <c r="AD292" s="62"/>
      <c r="AE292" s="63"/>
      <c r="AF292" s="63"/>
    </row>
    <row r="293" spans="28:32" x14ac:dyDescent="0.2">
      <c r="AB293" s="61"/>
      <c r="AC293" s="61"/>
      <c r="AD293" s="62"/>
      <c r="AE293" s="63"/>
      <c r="AF293" s="63"/>
    </row>
    <row r="294" spans="28:32" x14ac:dyDescent="0.2">
      <c r="AB294" s="61"/>
      <c r="AC294" s="61"/>
      <c r="AD294" s="62"/>
      <c r="AE294" s="63"/>
      <c r="AF294" s="63"/>
    </row>
    <row r="295" spans="28:32" x14ac:dyDescent="0.2">
      <c r="AB295" s="61"/>
      <c r="AC295" s="61"/>
      <c r="AD295" s="62"/>
      <c r="AE295" s="63"/>
      <c r="AF295" s="63"/>
    </row>
    <row r="296" spans="28:32" x14ac:dyDescent="0.2">
      <c r="AB296" s="61"/>
      <c r="AC296" s="61"/>
      <c r="AD296" s="62"/>
      <c r="AE296" s="63"/>
      <c r="AF296" s="63"/>
    </row>
    <row r="297" spans="28:32" x14ac:dyDescent="0.2">
      <c r="AB297" s="61"/>
      <c r="AC297" s="61"/>
      <c r="AD297" s="62"/>
      <c r="AE297" s="63"/>
      <c r="AF297" s="63"/>
    </row>
    <row r="298" spans="28:32" x14ac:dyDescent="0.2">
      <c r="AB298" s="61"/>
      <c r="AC298" s="61"/>
      <c r="AD298" s="62"/>
      <c r="AE298" s="63"/>
      <c r="AF298" s="63"/>
    </row>
    <row r="299" spans="28:32" x14ac:dyDescent="0.2">
      <c r="AB299" s="61"/>
      <c r="AC299" s="61"/>
      <c r="AD299" s="62"/>
      <c r="AE299" s="63"/>
      <c r="AF299" s="63"/>
    </row>
    <row r="300" spans="28:32" x14ac:dyDescent="0.2">
      <c r="AB300" s="61"/>
      <c r="AC300" s="61"/>
      <c r="AD300" s="62"/>
      <c r="AE300" s="63"/>
      <c r="AF300" s="63"/>
    </row>
    <row r="301" spans="28:32" x14ac:dyDescent="0.2">
      <c r="AB301" s="61"/>
      <c r="AC301" s="61"/>
      <c r="AD301" s="62"/>
      <c r="AE301" s="63"/>
      <c r="AF301" s="63"/>
    </row>
    <row r="302" spans="28:32" x14ac:dyDescent="0.2">
      <c r="AB302" s="61"/>
      <c r="AC302" s="61"/>
      <c r="AD302" s="62"/>
      <c r="AE302" s="63"/>
      <c r="AF302" s="63"/>
    </row>
    <row r="303" spans="28:32" x14ac:dyDescent="0.2">
      <c r="AB303" s="61"/>
      <c r="AC303" s="61"/>
      <c r="AD303" s="62"/>
      <c r="AE303" s="63"/>
      <c r="AF303" s="63"/>
    </row>
    <row r="304" spans="28:32" x14ac:dyDescent="0.2">
      <c r="AB304" s="61"/>
      <c r="AC304" s="61"/>
      <c r="AD304" s="62"/>
      <c r="AE304" s="63"/>
      <c r="AF304" s="63"/>
    </row>
    <row r="305" spans="28:32" x14ac:dyDescent="0.2">
      <c r="AB305" s="61"/>
      <c r="AC305" s="61"/>
      <c r="AD305" s="62"/>
      <c r="AE305" s="63"/>
      <c r="AF305" s="63"/>
    </row>
    <row r="306" spans="28:32" x14ac:dyDescent="0.2">
      <c r="AB306" s="61"/>
      <c r="AC306" s="61"/>
      <c r="AD306" s="62"/>
      <c r="AE306" s="63"/>
      <c r="AF306" s="63"/>
    </row>
    <row r="307" spans="28:32" x14ac:dyDescent="0.2">
      <c r="AB307" s="61"/>
      <c r="AC307" s="61"/>
      <c r="AD307" s="62"/>
      <c r="AE307" s="63"/>
      <c r="AF307" s="63"/>
    </row>
    <row r="308" spans="28:32" x14ac:dyDescent="0.2">
      <c r="AB308" s="61"/>
      <c r="AC308" s="61"/>
      <c r="AD308" s="62"/>
      <c r="AE308" s="63"/>
      <c r="AF308" s="63"/>
    </row>
    <row r="309" spans="28:32" x14ac:dyDescent="0.2">
      <c r="AB309" s="61"/>
      <c r="AC309" s="61"/>
      <c r="AD309" s="62"/>
      <c r="AE309" s="63"/>
      <c r="AF309" s="63"/>
    </row>
    <row r="310" spans="28:32" x14ac:dyDescent="0.2">
      <c r="AB310" s="61"/>
      <c r="AC310" s="61"/>
      <c r="AD310" s="62"/>
      <c r="AE310" s="63"/>
      <c r="AF310" s="63"/>
    </row>
    <row r="311" spans="28:32" x14ac:dyDescent="0.2">
      <c r="AB311" s="61"/>
      <c r="AC311" s="61"/>
      <c r="AD311" s="62"/>
      <c r="AE311" s="63"/>
      <c r="AF311" s="63"/>
    </row>
    <row r="312" spans="28:32" x14ac:dyDescent="0.2">
      <c r="AB312" s="61"/>
      <c r="AC312" s="61"/>
      <c r="AD312" s="62"/>
      <c r="AE312" s="63"/>
      <c r="AF312" s="63"/>
    </row>
    <row r="313" spans="28:32" x14ac:dyDescent="0.2">
      <c r="AB313" s="61"/>
      <c r="AC313" s="61"/>
      <c r="AD313" s="62"/>
      <c r="AE313" s="63"/>
      <c r="AF313" s="63"/>
    </row>
    <row r="314" spans="28:32" x14ac:dyDescent="0.2">
      <c r="AB314" s="61"/>
      <c r="AC314" s="61"/>
      <c r="AD314" s="62"/>
      <c r="AE314" s="63"/>
      <c r="AF314" s="63"/>
    </row>
    <row r="315" spans="28:32" x14ac:dyDescent="0.2">
      <c r="AB315" s="61"/>
      <c r="AC315" s="61"/>
      <c r="AD315" s="62"/>
      <c r="AE315" s="63"/>
      <c r="AF315" s="63"/>
    </row>
    <row r="316" spans="28:32" x14ac:dyDescent="0.2">
      <c r="AB316" s="61"/>
      <c r="AC316" s="61"/>
      <c r="AD316" s="62"/>
      <c r="AE316" s="63"/>
      <c r="AF316" s="63"/>
    </row>
    <row r="317" spans="28:32" x14ac:dyDescent="0.2">
      <c r="AB317" s="61"/>
      <c r="AC317" s="61"/>
      <c r="AD317" s="62"/>
      <c r="AE317" s="63"/>
      <c r="AF317" s="63"/>
    </row>
    <row r="318" spans="28:32" x14ac:dyDescent="0.2">
      <c r="AB318" s="61"/>
      <c r="AC318" s="61"/>
      <c r="AD318" s="62"/>
      <c r="AE318" s="63"/>
      <c r="AF318" s="63"/>
    </row>
    <row r="319" spans="28:32" x14ac:dyDescent="0.2">
      <c r="AB319" s="61"/>
      <c r="AC319" s="61"/>
      <c r="AD319" s="62"/>
      <c r="AE319" s="63"/>
      <c r="AF319" s="63"/>
    </row>
    <row r="320" spans="28:32" x14ac:dyDescent="0.2">
      <c r="AB320" s="61"/>
      <c r="AC320" s="61"/>
      <c r="AD320" s="62"/>
      <c r="AE320" s="63"/>
      <c r="AF320" s="63"/>
    </row>
    <row r="321" spans="28:32" x14ac:dyDescent="0.2">
      <c r="AB321" s="61"/>
      <c r="AC321" s="61"/>
      <c r="AD321" s="62"/>
      <c r="AE321" s="63"/>
      <c r="AF321" s="63"/>
    </row>
    <row r="322" spans="28:32" x14ac:dyDescent="0.2">
      <c r="AB322" s="61"/>
      <c r="AC322" s="61"/>
      <c r="AD322" s="62"/>
      <c r="AE322" s="63"/>
      <c r="AF322" s="63"/>
    </row>
    <row r="323" spans="28:32" x14ac:dyDescent="0.2">
      <c r="AB323" s="61"/>
      <c r="AC323" s="61"/>
      <c r="AD323" s="62"/>
      <c r="AE323" s="63"/>
      <c r="AF323" s="63"/>
    </row>
    <row r="324" spans="28:32" x14ac:dyDescent="0.2">
      <c r="AB324" s="61"/>
      <c r="AC324" s="61"/>
      <c r="AD324" s="62"/>
      <c r="AE324" s="63"/>
      <c r="AF324" s="63"/>
    </row>
    <row r="325" spans="28:32" x14ac:dyDescent="0.2">
      <c r="AB325" s="61"/>
      <c r="AC325" s="61"/>
      <c r="AD325" s="62"/>
      <c r="AE325" s="63"/>
      <c r="AF325" s="63"/>
    </row>
    <row r="326" spans="28:32" x14ac:dyDescent="0.2">
      <c r="AB326" s="61"/>
      <c r="AC326" s="61"/>
      <c r="AD326" s="62"/>
      <c r="AE326" s="63"/>
      <c r="AF326" s="63"/>
    </row>
    <row r="327" spans="28:32" x14ac:dyDescent="0.2">
      <c r="AB327" s="61"/>
      <c r="AC327" s="61"/>
      <c r="AD327" s="62"/>
      <c r="AE327" s="63"/>
      <c r="AF327" s="63"/>
    </row>
    <row r="328" spans="28:32" x14ac:dyDescent="0.2">
      <c r="AB328" s="61"/>
      <c r="AC328" s="61"/>
      <c r="AD328" s="62"/>
      <c r="AE328" s="63"/>
      <c r="AF328" s="63"/>
    </row>
    <row r="329" spans="28:32" x14ac:dyDescent="0.2">
      <c r="AB329" s="61"/>
      <c r="AC329" s="61"/>
      <c r="AD329" s="62"/>
      <c r="AE329" s="63"/>
      <c r="AF329" s="63"/>
    </row>
    <row r="330" spans="28:32" x14ac:dyDescent="0.2">
      <c r="AB330" s="61"/>
      <c r="AC330" s="61"/>
      <c r="AD330" s="62"/>
      <c r="AE330" s="63"/>
      <c r="AF330" s="63"/>
    </row>
    <row r="331" spans="28:32" x14ac:dyDescent="0.2">
      <c r="AB331" s="61"/>
      <c r="AC331" s="61"/>
      <c r="AD331" s="62"/>
      <c r="AE331" s="63"/>
      <c r="AF331" s="63"/>
    </row>
    <row r="332" spans="28:32" x14ac:dyDescent="0.2">
      <c r="AB332" s="61"/>
      <c r="AC332" s="61"/>
      <c r="AD332" s="62"/>
      <c r="AE332" s="63"/>
      <c r="AF332" s="63"/>
    </row>
    <row r="333" spans="28:32" x14ac:dyDescent="0.2">
      <c r="AB333" s="61"/>
      <c r="AC333" s="61"/>
      <c r="AD333" s="62"/>
      <c r="AE333" s="63"/>
      <c r="AF333" s="63"/>
    </row>
    <row r="334" spans="28:32" x14ac:dyDescent="0.2">
      <c r="AB334" s="61"/>
      <c r="AC334" s="61"/>
      <c r="AD334" s="62"/>
      <c r="AE334" s="63"/>
      <c r="AF334" s="63"/>
    </row>
    <row r="335" spans="28:32" x14ac:dyDescent="0.2">
      <c r="AB335" s="61"/>
      <c r="AC335" s="61"/>
      <c r="AD335" s="62"/>
      <c r="AE335" s="63"/>
      <c r="AF335" s="63"/>
    </row>
    <row r="336" spans="28:32" x14ac:dyDescent="0.2">
      <c r="AB336" s="61"/>
      <c r="AC336" s="61"/>
      <c r="AD336" s="62"/>
      <c r="AE336" s="63"/>
      <c r="AF336" s="63"/>
    </row>
    <row r="337" spans="28:32" x14ac:dyDescent="0.2">
      <c r="AB337" s="61"/>
      <c r="AC337" s="61"/>
      <c r="AD337" s="62"/>
      <c r="AE337" s="63"/>
      <c r="AF337" s="63"/>
    </row>
    <row r="338" spans="28:32" x14ac:dyDescent="0.2">
      <c r="AB338" s="61"/>
      <c r="AC338" s="61"/>
      <c r="AD338" s="62"/>
      <c r="AE338" s="63"/>
      <c r="AF338" s="63"/>
    </row>
    <row r="339" spans="28:32" x14ac:dyDescent="0.2">
      <c r="AB339" s="61"/>
      <c r="AC339" s="61"/>
      <c r="AD339" s="62"/>
      <c r="AE339" s="63"/>
      <c r="AF339" s="63"/>
    </row>
    <row r="340" spans="28:32" x14ac:dyDescent="0.2">
      <c r="AB340" s="61"/>
      <c r="AC340" s="61"/>
      <c r="AD340" s="62"/>
      <c r="AE340" s="63"/>
      <c r="AF340" s="63"/>
    </row>
    <row r="341" spans="28:32" x14ac:dyDescent="0.2">
      <c r="AB341" s="61"/>
      <c r="AC341" s="61"/>
      <c r="AD341" s="62"/>
      <c r="AE341" s="63"/>
      <c r="AF341" s="63"/>
    </row>
    <row r="342" spans="28:32" x14ac:dyDescent="0.2">
      <c r="AB342" s="61"/>
      <c r="AC342" s="61"/>
      <c r="AD342" s="62"/>
      <c r="AE342" s="63"/>
      <c r="AF342" s="63"/>
    </row>
    <row r="343" spans="28:32" x14ac:dyDescent="0.2">
      <c r="AB343" s="61"/>
      <c r="AC343" s="61"/>
      <c r="AD343" s="62"/>
      <c r="AE343" s="63"/>
      <c r="AF343" s="63"/>
    </row>
    <row r="344" spans="28:32" x14ac:dyDescent="0.2">
      <c r="AB344" s="61"/>
      <c r="AC344" s="61"/>
      <c r="AD344" s="62"/>
      <c r="AE344" s="63"/>
      <c r="AF344" s="63"/>
    </row>
    <row r="345" spans="28:32" x14ac:dyDescent="0.2">
      <c r="AB345" s="61"/>
      <c r="AC345" s="61"/>
      <c r="AD345" s="62"/>
      <c r="AE345" s="63"/>
      <c r="AF345" s="63"/>
    </row>
    <row r="346" spans="28:32" x14ac:dyDescent="0.2">
      <c r="AB346" s="61"/>
      <c r="AC346" s="61"/>
      <c r="AD346" s="62"/>
      <c r="AE346" s="63"/>
      <c r="AF346" s="63"/>
    </row>
    <row r="347" spans="28:32" x14ac:dyDescent="0.2">
      <c r="AB347" s="61"/>
      <c r="AC347" s="61"/>
      <c r="AD347" s="62"/>
      <c r="AE347" s="63"/>
      <c r="AF347" s="63"/>
    </row>
    <row r="348" spans="28:32" x14ac:dyDescent="0.2">
      <c r="AB348" s="61"/>
      <c r="AC348" s="61"/>
      <c r="AD348" s="62"/>
      <c r="AE348" s="63"/>
      <c r="AF348" s="63"/>
    </row>
    <row r="349" spans="28:32" x14ac:dyDescent="0.2">
      <c r="AB349" s="61"/>
      <c r="AC349" s="61"/>
      <c r="AD349" s="62"/>
      <c r="AE349" s="63"/>
      <c r="AF349" s="63"/>
    </row>
    <row r="350" spans="28:32" x14ac:dyDescent="0.2">
      <c r="AB350" s="61"/>
      <c r="AC350" s="61"/>
      <c r="AD350" s="62"/>
      <c r="AE350" s="63"/>
      <c r="AF350" s="63"/>
    </row>
    <row r="351" spans="28:32" x14ac:dyDescent="0.2">
      <c r="AB351" s="61"/>
      <c r="AC351" s="61"/>
      <c r="AD351" s="62"/>
      <c r="AE351" s="63"/>
      <c r="AF351" s="63"/>
    </row>
    <row r="352" spans="28:32" x14ac:dyDescent="0.2">
      <c r="AB352" s="61"/>
      <c r="AC352" s="61"/>
      <c r="AD352" s="62"/>
      <c r="AE352" s="63"/>
      <c r="AF352" s="63"/>
    </row>
    <row r="353" spans="28:32" x14ac:dyDescent="0.2">
      <c r="AB353" s="61"/>
      <c r="AC353" s="61"/>
      <c r="AD353" s="62"/>
      <c r="AE353" s="63"/>
      <c r="AF353" s="63"/>
    </row>
    <row r="354" spans="28:32" x14ac:dyDescent="0.2">
      <c r="AB354" s="61"/>
      <c r="AC354" s="61"/>
      <c r="AD354" s="62"/>
      <c r="AE354" s="63"/>
      <c r="AF354" s="63"/>
    </row>
    <row r="355" spans="28:32" x14ac:dyDescent="0.2">
      <c r="AB355" s="61"/>
      <c r="AC355" s="61"/>
      <c r="AD355" s="62"/>
      <c r="AE355" s="63"/>
      <c r="AF355" s="63"/>
    </row>
    <row r="356" spans="28:32" x14ac:dyDescent="0.2">
      <c r="AB356" s="61"/>
      <c r="AC356" s="61"/>
      <c r="AD356" s="62"/>
      <c r="AE356" s="63"/>
      <c r="AF356" s="63"/>
    </row>
    <row r="357" spans="28:32" x14ac:dyDescent="0.2">
      <c r="AB357" s="61"/>
      <c r="AC357" s="61"/>
      <c r="AD357" s="62"/>
      <c r="AE357" s="63"/>
      <c r="AF357" s="63"/>
    </row>
    <row r="358" spans="28:32" x14ac:dyDescent="0.2">
      <c r="AB358" s="61"/>
      <c r="AC358" s="61"/>
      <c r="AD358" s="62"/>
      <c r="AE358" s="63"/>
      <c r="AF358" s="63"/>
    </row>
    <row r="359" spans="28:32" x14ac:dyDescent="0.2">
      <c r="AB359" s="61"/>
      <c r="AC359" s="61"/>
      <c r="AD359" s="62"/>
      <c r="AE359" s="63"/>
      <c r="AF359" s="63"/>
    </row>
    <row r="360" spans="28:32" x14ac:dyDescent="0.2">
      <c r="AB360" s="61"/>
      <c r="AC360" s="61"/>
      <c r="AD360" s="62"/>
      <c r="AE360" s="63"/>
      <c r="AF360" s="63"/>
    </row>
    <row r="361" spans="28:32" x14ac:dyDescent="0.2">
      <c r="AB361" s="61"/>
      <c r="AC361" s="61"/>
      <c r="AD361" s="62"/>
      <c r="AE361" s="63"/>
      <c r="AF361" s="63"/>
    </row>
    <row r="362" spans="28:32" x14ac:dyDescent="0.2">
      <c r="AB362" s="61"/>
      <c r="AC362" s="61"/>
      <c r="AD362" s="62"/>
      <c r="AE362" s="63"/>
      <c r="AF362" s="63"/>
    </row>
    <row r="363" spans="28:32" x14ac:dyDescent="0.2">
      <c r="AB363" s="61"/>
      <c r="AC363" s="61"/>
      <c r="AD363" s="62"/>
      <c r="AE363" s="63"/>
      <c r="AF363" s="63"/>
    </row>
    <row r="364" spans="28:32" x14ac:dyDescent="0.2">
      <c r="AB364" s="61"/>
      <c r="AC364" s="61"/>
      <c r="AD364" s="62"/>
      <c r="AE364" s="63"/>
      <c r="AF364" s="63"/>
    </row>
    <row r="365" spans="28:32" x14ac:dyDescent="0.2">
      <c r="AB365" s="61"/>
      <c r="AC365" s="61"/>
      <c r="AD365" s="62"/>
      <c r="AE365" s="63"/>
      <c r="AF365" s="63"/>
    </row>
    <row r="366" spans="28:32" x14ac:dyDescent="0.2">
      <c r="AB366" s="61"/>
      <c r="AC366" s="61"/>
      <c r="AD366" s="62"/>
      <c r="AE366" s="63"/>
      <c r="AF366" s="63"/>
    </row>
    <row r="367" spans="28:32" x14ac:dyDescent="0.2">
      <c r="AB367" s="61"/>
      <c r="AC367" s="61"/>
      <c r="AD367" s="62"/>
      <c r="AE367" s="63"/>
      <c r="AF367" s="63"/>
    </row>
    <row r="368" spans="28:32" x14ac:dyDescent="0.2">
      <c r="AB368" s="61"/>
      <c r="AC368" s="61"/>
      <c r="AD368" s="62"/>
      <c r="AE368" s="63"/>
      <c r="AF368" s="63"/>
    </row>
    <row r="369" spans="28:32" x14ac:dyDescent="0.2">
      <c r="AB369" s="61"/>
      <c r="AC369" s="61"/>
      <c r="AD369" s="62"/>
      <c r="AE369" s="63"/>
      <c r="AF369" s="63"/>
    </row>
    <row r="370" spans="28:32" x14ac:dyDescent="0.2">
      <c r="AB370" s="61"/>
      <c r="AC370" s="61"/>
      <c r="AD370" s="62"/>
      <c r="AE370" s="63"/>
      <c r="AF370" s="63"/>
    </row>
    <row r="371" spans="28:32" x14ac:dyDescent="0.2">
      <c r="AB371" s="61"/>
      <c r="AC371" s="61"/>
      <c r="AD371" s="62"/>
      <c r="AE371" s="63"/>
      <c r="AF371" s="63"/>
    </row>
    <row r="372" spans="28:32" x14ac:dyDescent="0.2">
      <c r="AB372" s="61"/>
      <c r="AC372" s="61"/>
      <c r="AD372" s="62"/>
      <c r="AE372" s="63"/>
      <c r="AF372" s="63"/>
    </row>
    <row r="373" spans="28:32" x14ac:dyDescent="0.2">
      <c r="AB373" s="61"/>
      <c r="AC373" s="61"/>
      <c r="AD373" s="62"/>
      <c r="AE373" s="63"/>
      <c r="AF373" s="63"/>
    </row>
    <row r="374" spans="28:32" x14ac:dyDescent="0.2">
      <c r="AB374" s="61"/>
      <c r="AC374" s="61"/>
      <c r="AD374" s="62"/>
      <c r="AE374" s="63"/>
      <c r="AF374" s="63"/>
    </row>
    <row r="375" spans="28:32" x14ac:dyDescent="0.2">
      <c r="AB375" s="61"/>
      <c r="AC375" s="61"/>
      <c r="AD375" s="62"/>
      <c r="AE375" s="63"/>
      <c r="AF375" s="63"/>
    </row>
    <row r="376" spans="28:32" x14ac:dyDescent="0.2">
      <c r="AB376" s="61"/>
      <c r="AC376" s="61"/>
      <c r="AD376" s="62"/>
      <c r="AE376" s="63"/>
      <c r="AF376" s="63"/>
    </row>
    <row r="377" spans="28:32" x14ac:dyDescent="0.2">
      <c r="AB377" s="61"/>
      <c r="AC377" s="61"/>
      <c r="AD377" s="62"/>
      <c r="AE377" s="63"/>
      <c r="AF377" s="63"/>
    </row>
    <row r="378" spans="28:32" x14ac:dyDescent="0.2">
      <c r="AB378" s="61"/>
      <c r="AC378" s="61"/>
      <c r="AD378" s="62"/>
      <c r="AE378" s="63"/>
      <c r="AF378" s="63"/>
    </row>
    <row r="379" spans="28:32" x14ac:dyDescent="0.2">
      <c r="AB379" s="61"/>
      <c r="AC379" s="61"/>
      <c r="AD379" s="62"/>
      <c r="AE379" s="63"/>
      <c r="AF379" s="63"/>
    </row>
    <row r="380" spans="28:32" x14ac:dyDescent="0.2">
      <c r="AB380" s="61"/>
      <c r="AC380" s="61"/>
      <c r="AD380" s="62"/>
      <c r="AE380" s="63"/>
      <c r="AF380" s="63"/>
    </row>
    <row r="381" spans="28:32" x14ac:dyDescent="0.2">
      <c r="AB381" s="61"/>
      <c r="AC381" s="61"/>
      <c r="AD381" s="62"/>
      <c r="AE381" s="63"/>
      <c r="AF381" s="63"/>
    </row>
    <row r="382" spans="28:32" x14ac:dyDescent="0.2">
      <c r="AB382" s="61"/>
      <c r="AC382" s="61"/>
      <c r="AD382" s="62"/>
      <c r="AE382" s="63"/>
      <c r="AF382" s="63"/>
    </row>
    <row r="383" spans="28:32" x14ac:dyDescent="0.2">
      <c r="AB383" s="61"/>
      <c r="AC383" s="61"/>
      <c r="AD383" s="62"/>
      <c r="AE383" s="63"/>
      <c r="AF383" s="63"/>
    </row>
    <row r="384" spans="28:32" x14ac:dyDescent="0.2">
      <c r="AB384" s="61"/>
      <c r="AC384" s="61"/>
      <c r="AD384" s="62"/>
      <c r="AE384" s="63"/>
      <c r="AF384" s="63"/>
    </row>
    <row r="385" spans="28:32" x14ac:dyDescent="0.2">
      <c r="AB385" s="61"/>
      <c r="AC385" s="61"/>
      <c r="AD385" s="62"/>
      <c r="AE385" s="63"/>
      <c r="AF385" s="63"/>
    </row>
    <row r="386" spans="28:32" x14ac:dyDescent="0.2">
      <c r="AB386" s="61"/>
      <c r="AC386" s="61"/>
      <c r="AD386" s="62"/>
      <c r="AE386" s="63"/>
      <c r="AF386" s="63"/>
    </row>
    <row r="387" spans="28:32" x14ac:dyDescent="0.2">
      <c r="AB387" s="61"/>
      <c r="AC387" s="61"/>
      <c r="AD387" s="62"/>
      <c r="AE387" s="63"/>
      <c r="AF387" s="63"/>
    </row>
    <row r="388" spans="28:32" x14ac:dyDescent="0.2">
      <c r="AB388" s="61"/>
      <c r="AC388" s="61"/>
      <c r="AD388" s="62"/>
      <c r="AE388" s="63"/>
      <c r="AF388" s="63"/>
    </row>
    <row r="389" spans="28:32" x14ac:dyDescent="0.2">
      <c r="AB389" s="61"/>
      <c r="AC389" s="61"/>
      <c r="AD389" s="62"/>
      <c r="AE389" s="63"/>
      <c r="AF389" s="63"/>
    </row>
    <row r="390" spans="28:32" x14ac:dyDescent="0.2">
      <c r="AB390" s="61"/>
      <c r="AC390" s="61"/>
      <c r="AD390" s="62"/>
      <c r="AE390" s="63"/>
      <c r="AF390" s="63"/>
    </row>
    <row r="391" spans="28:32" x14ac:dyDescent="0.2">
      <c r="AB391" s="61"/>
      <c r="AC391" s="61"/>
      <c r="AD391" s="62"/>
      <c r="AE391" s="63"/>
      <c r="AF391" s="63"/>
    </row>
    <row r="392" spans="28:32" x14ac:dyDescent="0.2">
      <c r="AB392" s="61"/>
      <c r="AC392" s="61"/>
      <c r="AD392" s="62"/>
      <c r="AE392" s="63"/>
      <c r="AF392" s="63"/>
    </row>
    <row r="393" spans="28:32" x14ac:dyDescent="0.2">
      <c r="AB393" s="61"/>
      <c r="AC393" s="61"/>
      <c r="AD393" s="62"/>
      <c r="AE393" s="63"/>
      <c r="AF393" s="63"/>
    </row>
    <row r="394" spans="28:32" x14ac:dyDescent="0.2">
      <c r="AB394" s="61"/>
      <c r="AC394" s="61"/>
      <c r="AD394" s="62"/>
      <c r="AE394" s="63"/>
      <c r="AF394" s="63"/>
    </row>
    <row r="395" spans="28:32" x14ac:dyDescent="0.2">
      <c r="AB395" s="61"/>
      <c r="AC395" s="61"/>
      <c r="AD395" s="62"/>
      <c r="AE395" s="63"/>
      <c r="AF395" s="63"/>
    </row>
    <row r="396" spans="28:32" x14ac:dyDescent="0.2">
      <c r="AB396" s="61"/>
      <c r="AC396" s="61"/>
      <c r="AD396" s="62"/>
      <c r="AE396" s="63"/>
      <c r="AF396" s="63"/>
    </row>
    <row r="397" spans="28:32" x14ac:dyDescent="0.2">
      <c r="AB397" s="61"/>
      <c r="AC397" s="61"/>
      <c r="AD397" s="62"/>
      <c r="AE397" s="63"/>
      <c r="AF397" s="63"/>
    </row>
    <row r="398" spans="28:32" x14ac:dyDescent="0.2">
      <c r="AB398" s="61"/>
      <c r="AC398" s="61"/>
      <c r="AD398" s="62"/>
      <c r="AE398" s="63"/>
      <c r="AF398" s="63"/>
    </row>
    <row r="399" spans="28:32" x14ac:dyDescent="0.2">
      <c r="AB399" s="61"/>
      <c r="AC399" s="61"/>
      <c r="AD399" s="62"/>
      <c r="AE399" s="63"/>
      <c r="AF399" s="63"/>
    </row>
    <row r="400" spans="28:32" x14ac:dyDescent="0.2">
      <c r="AB400" s="61"/>
      <c r="AC400" s="61"/>
      <c r="AD400" s="62"/>
      <c r="AE400" s="63"/>
      <c r="AF400" s="63"/>
    </row>
    <row r="401" spans="28:32" x14ac:dyDescent="0.2">
      <c r="AB401" s="61"/>
      <c r="AC401" s="61"/>
      <c r="AD401" s="62"/>
      <c r="AE401" s="63"/>
      <c r="AF401" s="63"/>
    </row>
  </sheetData>
  <sortState xmlns:xlrd2="http://schemas.microsoft.com/office/spreadsheetml/2017/richdata2" ref="A2:GA193">
    <sortCondition descending="1" sortBy="fontColor" ref="AG2:AG193" dxfId="10"/>
  </sortState>
  <conditionalFormatting sqref="E93">
    <cfRule type="duplicateValues" dxfId="9" priority="2"/>
  </conditionalFormatting>
  <conditionalFormatting sqref="X2:Y107 X109:Y174">
    <cfRule type="duplicateValues" dxfId="8" priority="9"/>
  </conditionalFormatting>
  <conditionalFormatting sqref="X2:Y107">
    <cfRule type="duplicateValues" dxfId="7" priority="8"/>
  </conditionalFormatting>
  <conditionalFormatting sqref="Z200:AF200 Z202:AF202 Z204:AF204 Z195:AF195 Z197:AF197">
    <cfRule type="duplicateValues" dxfId="6" priority="4"/>
  </conditionalFormatting>
  <pageMargins left="0.7" right="0.7" top="0.75" bottom="0.75" header="0.3" footer="0.3"/>
  <pageSetup orientation="portrait" horizontalDpi="90" verticalDpi="9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45"/>
  <sheetViews>
    <sheetView zoomScale="60" zoomScaleNormal="60" workbookViewId="0">
      <selection activeCell="D36" sqref="D36"/>
    </sheetView>
  </sheetViews>
  <sheetFormatPr baseColWidth="10" defaultColWidth="24.1640625" defaultRowHeight="15" x14ac:dyDescent="0.2"/>
  <cols>
    <col min="1" max="1" width="56.1640625" style="48" customWidth="1"/>
    <col min="2" max="2" width="32.83203125" style="50" customWidth="1"/>
    <col min="3" max="3" width="15" style="50" customWidth="1"/>
    <col min="4" max="4" width="13.83203125" style="50" customWidth="1"/>
    <col min="5" max="5" width="13.1640625" style="50" customWidth="1"/>
    <col min="6" max="6" width="16.6640625" style="50" customWidth="1"/>
    <col min="7" max="7" width="14.33203125" style="50" customWidth="1"/>
    <col min="8" max="9" width="14.6640625" style="50" customWidth="1"/>
    <col min="10" max="10" width="27" style="49" bestFit="1" customWidth="1"/>
    <col min="11" max="11" width="26.33203125" style="49" bestFit="1" customWidth="1"/>
    <col min="12" max="12" width="34" style="51" bestFit="1" customWidth="1"/>
    <col min="13" max="13" width="16.5" style="51" bestFit="1" customWidth="1"/>
    <col min="14" max="14" width="33.33203125" style="51" bestFit="1" customWidth="1"/>
    <col min="15" max="16" width="26.5" style="51" bestFit="1" customWidth="1"/>
    <col min="17" max="16384" width="24.1640625" style="46"/>
  </cols>
  <sheetData>
    <row r="1" spans="1:16" s="47" customFormat="1" ht="48" x14ac:dyDescent="0.2">
      <c r="A1" s="44" t="s">
        <v>255</v>
      </c>
      <c r="B1" s="45" t="s">
        <v>1269</v>
      </c>
      <c r="C1" s="45" t="s">
        <v>1270</v>
      </c>
      <c r="D1" s="45" t="s">
        <v>1271</v>
      </c>
      <c r="E1" s="45" t="s">
        <v>1272</v>
      </c>
      <c r="F1" s="115" t="s">
        <v>1273</v>
      </c>
      <c r="G1" s="45" t="s">
        <v>1274</v>
      </c>
      <c r="H1" s="45" t="s">
        <v>1275</v>
      </c>
      <c r="I1" s="45" t="s">
        <v>1276</v>
      </c>
      <c r="J1" s="45" t="s">
        <v>1277</v>
      </c>
      <c r="K1" s="45" t="s">
        <v>1278</v>
      </c>
      <c r="L1" s="115" t="s">
        <v>1279</v>
      </c>
      <c r="M1" s="45" t="s">
        <v>1280</v>
      </c>
      <c r="N1" s="45" t="s">
        <v>1281</v>
      </c>
      <c r="O1" s="45" t="s">
        <v>1282</v>
      </c>
      <c r="P1" s="115" t="s">
        <v>1283</v>
      </c>
    </row>
    <row r="2" spans="1:16" ht="16" x14ac:dyDescent="0.2">
      <c r="A2" s="48" t="s">
        <v>126</v>
      </c>
      <c r="B2" s="49">
        <v>1.4511976281501133E-6</v>
      </c>
      <c r="C2" s="116">
        <v>1</v>
      </c>
      <c r="D2" s="116">
        <v>3</v>
      </c>
      <c r="E2" s="116">
        <v>2</v>
      </c>
      <c r="F2" s="116">
        <v>20</v>
      </c>
      <c r="G2" s="116">
        <v>7</v>
      </c>
      <c r="H2" s="116">
        <v>2</v>
      </c>
      <c r="I2" s="116">
        <v>1</v>
      </c>
      <c r="J2" s="117">
        <f>'[1]BLOD reduced list'!$B2/'[1]BLOD reduced list'!C2</f>
        <v>4.8373254271670443E-4</v>
      </c>
      <c r="K2" s="117">
        <f>'[1]BLOD reduced list'!$B2/'[1]BLOD reduced list'!D2</f>
        <v>7.2559881407505665E-5</v>
      </c>
      <c r="L2" s="117">
        <f>'[1]BLOD reduced list'!$B2*'[1]BLOD reduced list'!E2</f>
        <v>4.9340719357103851E-11</v>
      </c>
      <c r="M2" s="117">
        <f>'[1]BLOD reduced list'!$B2*'[1]BLOD reduced list'!F2</f>
        <v>1.741437153780136E-7</v>
      </c>
      <c r="N2" s="117">
        <f>'[1]BLOD reduced list'!$B2*'[1]BLOD reduced list'!G2</f>
        <v>1.741437153780136E-7</v>
      </c>
      <c r="O2" s="117">
        <f>'[1]BLOD reduced list'!$B2/'[1]BLOD reduced list'!H2</f>
        <v>2.3790125051641203E-8</v>
      </c>
      <c r="P2" s="117">
        <f>'[1]BLOD reduced list'!$B2*'[1]BLOD reduced list'!I2</f>
        <v>4.9340719357103851E-11</v>
      </c>
    </row>
    <row r="3" spans="1:16" ht="16" x14ac:dyDescent="0.2">
      <c r="A3" s="48" t="s">
        <v>121</v>
      </c>
      <c r="B3" s="49">
        <v>5.8080415045395601E-7</v>
      </c>
      <c r="C3" s="116">
        <v>2</v>
      </c>
      <c r="D3" s="116">
        <v>2</v>
      </c>
      <c r="E3" s="116">
        <v>4</v>
      </c>
      <c r="F3" s="116">
        <v>1</v>
      </c>
      <c r="G3" s="116">
        <v>1</v>
      </c>
      <c r="H3" s="116">
        <v>1</v>
      </c>
      <c r="I3" s="116">
        <v>5</v>
      </c>
      <c r="J3" s="117">
        <f>'[1]BLOD reduced list'!$B3/'[1]BLOD reduced list'!C3</f>
        <v>9.1899390894613299E-4</v>
      </c>
      <c r="K3" s="117">
        <f>'[1]BLOD reduced list'!$B3/'[1]BLOD reduced list'!D3</f>
        <v>9.6800691742326012E-6</v>
      </c>
      <c r="L3" s="117">
        <f>'[1]BLOD reduced list'!$B3*'[1]BLOD reduced list'!E3</f>
        <v>1.7888767833981845E-7</v>
      </c>
      <c r="M3" s="117">
        <f>'[1]BLOD reduced list'!$B3*'[1]BLOD reduced list'!F3</f>
        <v>2.3871050583657593E-6</v>
      </c>
      <c r="N3" s="117">
        <f>'[1]BLOD reduced list'!$B3*'[1]BLOD reduced list'!G3</f>
        <v>3.577753566796369E-7</v>
      </c>
      <c r="O3" s="117">
        <f>'[1]BLOD reduced list'!$B3/'[1]BLOD reduced list'!H3</f>
        <v>5.8080415045395603E-11</v>
      </c>
      <c r="P3" s="117">
        <f>'[1]BLOD reduced list'!$B3*'[1]BLOD reduced list'!I3</f>
        <v>1.7888767833981845E-7</v>
      </c>
    </row>
    <row r="4" spans="1:16" ht="16" x14ac:dyDescent="0.2">
      <c r="A4" s="48" t="s">
        <v>1284</v>
      </c>
      <c r="B4" s="49">
        <v>4.8707041142189249E-7</v>
      </c>
      <c r="C4" s="116">
        <v>3</v>
      </c>
      <c r="D4" s="116">
        <v>7</v>
      </c>
      <c r="E4" s="116">
        <v>1</v>
      </c>
      <c r="F4" s="116">
        <v>2</v>
      </c>
      <c r="G4" s="116">
        <v>2</v>
      </c>
      <c r="H4" s="116">
        <v>3</v>
      </c>
      <c r="I4" s="116">
        <v>7</v>
      </c>
      <c r="J4" s="117">
        <f>'[1]BLOD reduced list'!$B4/'[1]BLOD reduced list'!C4</f>
        <v>5.730240134375205E-5</v>
      </c>
      <c r="K4" s="117">
        <f>'[1]BLOD reduced list'!$B4/'[1]BLOD reduced list'!D4</f>
        <v>1.2425265597497257E-4</v>
      </c>
      <c r="L4" s="117">
        <f>'[1]BLOD reduced list'!$B4*'[1]BLOD reduced list'!E4</f>
        <v>6.6241575953377377E-8</v>
      </c>
      <c r="M4" s="117">
        <f>'[1]BLOD reduced list'!$B4*'[1]BLOD reduced list'!F4</f>
        <v>1.1202619462703527E-6</v>
      </c>
      <c r="N4" s="117">
        <f>'[1]BLOD reduced list'!$B4*'[1]BLOD reduced list'!G4</f>
        <v>1.3784092643239557E-7</v>
      </c>
      <c r="O4" s="117">
        <f>'[1]BLOD reduced list'!$B4/'[1]BLOD reduced list'!H4</f>
        <v>4.8707041142189249E-11</v>
      </c>
      <c r="P4" s="117">
        <f>'[1]BLOD reduced list'!$B4*'[1]BLOD reduced list'!I4</f>
        <v>6.6241575953377377E-8</v>
      </c>
    </row>
    <row r="5" spans="1:16" ht="16" x14ac:dyDescent="0.2">
      <c r="A5" s="48" t="s">
        <v>138</v>
      </c>
      <c r="B5" s="49">
        <v>3.0917018284106897E-7</v>
      </c>
      <c r="C5" s="116">
        <v>4</v>
      </c>
      <c r="D5" s="116">
        <v>5</v>
      </c>
      <c r="E5" s="116">
        <v>3</v>
      </c>
      <c r="F5" s="116">
        <v>5</v>
      </c>
      <c r="G5" s="116">
        <v>3</v>
      </c>
      <c r="H5" s="116">
        <v>12</v>
      </c>
      <c r="I5" s="116">
        <v>2</v>
      </c>
      <c r="J5" s="117">
        <f>'[1]BLOD reduced list'!$B5/'[1]BLOD reduced list'!C5</f>
        <v>1.7176121268948276E-4</v>
      </c>
      <c r="K5" s="117">
        <f>'[1]BLOD reduced list'!$B5/'[1]BLOD reduced list'!D5</f>
        <v>4.4167168977295568E-5</v>
      </c>
      <c r="L5" s="117">
        <f>'[1]BLOD reduced list'!$B5*'[1]BLOD reduced list'!E5</f>
        <v>4.0501293952180035E-8</v>
      </c>
      <c r="M5" s="117">
        <f>'[1]BLOD reduced list'!$B5*'[1]BLOD reduced list'!F5</f>
        <v>7.420084388185655E-7</v>
      </c>
      <c r="N5" s="117">
        <f>'[1]BLOD reduced list'!$B5*'[1]BLOD reduced list'!G5</f>
        <v>8.9659353023910002E-9</v>
      </c>
      <c r="O5" s="117">
        <f>'[1]BLOD reduced list'!$B5/'[1]BLOD reduced list'!H5</f>
        <v>5.4778558263832208E-9</v>
      </c>
      <c r="P5" s="117">
        <f>'[1]BLOD reduced list'!$B5*'[1]BLOD reduced list'!I5</f>
        <v>4.0501293952180035E-8</v>
      </c>
    </row>
    <row r="6" spans="1:16" ht="16" x14ac:dyDescent="0.2">
      <c r="A6" s="48" t="s">
        <v>125</v>
      </c>
      <c r="B6" s="49">
        <v>1.5166372884618853E-7</v>
      </c>
      <c r="C6" s="116">
        <v>5</v>
      </c>
      <c r="D6" s="116">
        <v>4</v>
      </c>
      <c r="E6" s="116">
        <v>6</v>
      </c>
      <c r="F6" s="116">
        <v>3</v>
      </c>
      <c r="G6" s="116">
        <v>4</v>
      </c>
      <c r="H6" s="116">
        <v>4</v>
      </c>
      <c r="I6" s="116">
        <v>11</v>
      </c>
      <c r="J6" s="117">
        <f>'[1]BLOD reduced list'!$B6/'[1]BLOD reduced list'!C6</f>
        <v>3.5270634615392681E-4</v>
      </c>
      <c r="K6" s="117">
        <f>'[1]BLOD reduced list'!$B6/'[1]BLOD reduced list'!D6</f>
        <v>3.7915932211547132E-6</v>
      </c>
      <c r="L6" s="117">
        <f>'[1]BLOD reduced list'!$B6*'[1]BLOD reduced list'!E6</f>
        <v>6.3698766115399178E-8</v>
      </c>
      <c r="M6" s="117">
        <f>'[1]BLOD reduced list'!$B6*'[1]BLOD reduced list'!F6</f>
        <v>6.5822058319245819E-7</v>
      </c>
      <c r="N6" s="117">
        <f>'[1]BLOD reduced list'!$B6*'[1]BLOD reduced list'!G6</f>
        <v>1.1147284070194856E-7</v>
      </c>
      <c r="O6" s="117">
        <f>'[1]BLOD reduced list'!$B6/'[1]BLOD reduced list'!H6</f>
        <v>1.5166372884618852E-11</v>
      </c>
      <c r="P6" s="117">
        <f>'[1]BLOD reduced list'!$B6*'[1]BLOD reduced list'!I6</f>
        <v>6.3698766115399178E-8</v>
      </c>
    </row>
    <row r="7" spans="1:16" ht="16" x14ac:dyDescent="0.2">
      <c r="A7" s="48" t="s">
        <v>127</v>
      </c>
      <c r="B7" s="49">
        <v>1.0684861297969121E-7</v>
      </c>
      <c r="C7" s="116">
        <v>6</v>
      </c>
      <c r="D7" s="116">
        <v>1</v>
      </c>
      <c r="E7" s="116">
        <v>12</v>
      </c>
      <c r="F7" s="116">
        <v>4</v>
      </c>
      <c r="G7" s="116">
        <v>5</v>
      </c>
      <c r="H7" s="116">
        <v>5</v>
      </c>
      <c r="I7" s="116">
        <v>4</v>
      </c>
      <c r="J7" s="117">
        <f>'[1]BLOD reduced list'!$B7/'[1]BLOD reduced list'!C7</f>
        <v>1.8911258934458622E-3</v>
      </c>
      <c r="K7" s="117">
        <f>'[1]BLOD reduced list'!$B7/'[1]BLOD reduced list'!D7</f>
        <v>3.561620432656374E-7</v>
      </c>
      <c r="L7" s="117">
        <f>'[1]BLOD reduced list'!$B7*'[1]BLOD reduced list'!E7</f>
        <v>4.1777807675059266E-8</v>
      </c>
      <c r="M7" s="117">
        <f>'[1]BLOD reduced list'!$B7*'[1]BLOD reduced list'!F7</f>
        <v>6.2933833045038116E-7</v>
      </c>
      <c r="N7" s="117">
        <f>'[1]BLOD reduced list'!$B7*'[1]BLOD reduced list'!G7</f>
        <v>8.8470651547184319E-8</v>
      </c>
      <c r="O7" s="117">
        <f>'[1]BLOD reduced list'!$B7/'[1]BLOD reduced list'!H7</f>
        <v>2.7962057201845286E-10</v>
      </c>
      <c r="P7" s="117">
        <f>'[1]BLOD reduced list'!$B7*'[1]BLOD reduced list'!I7</f>
        <v>4.1777807675059266E-8</v>
      </c>
    </row>
    <row r="8" spans="1:16" ht="16" x14ac:dyDescent="0.2">
      <c r="A8" s="48" t="s">
        <v>156</v>
      </c>
      <c r="B8" s="49">
        <v>7.9919205520956078E-8</v>
      </c>
      <c r="C8" s="116">
        <v>7</v>
      </c>
      <c r="D8" s="116">
        <v>6</v>
      </c>
      <c r="E8" s="116">
        <v>5</v>
      </c>
      <c r="F8" s="116">
        <v>6</v>
      </c>
      <c r="G8" s="116">
        <v>6</v>
      </c>
      <c r="H8" s="116">
        <v>7</v>
      </c>
      <c r="I8" s="118"/>
      <c r="J8" s="117">
        <f>'[1]BLOD reduced list'!$B8/'[1]BLOD reduced list'!C8</f>
        <v>1.3614856136449078E-4</v>
      </c>
      <c r="K8" s="117">
        <f>'[1]BLOD reduced list'!$B8/'[1]BLOD reduced list'!D8</f>
        <v>6.4974963838175674E-6</v>
      </c>
      <c r="L8" s="117">
        <f>'[1]BLOD reduced list'!$B8*'[1]BLOD reduced list'!E8</f>
        <v>1.6223598720754084E-8</v>
      </c>
      <c r="M8" s="117">
        <f>'[1]BLOD reduced list'!$B8*'[1]BLOD reduced list'!F8</f>
        <v>1.814165965325703E-7</v>
      </c>
      <c r="N8" s="117">
        <f>'[1]BLOD reduced list'!$B8*'[1]BLOD reduced list'!G8</f>
        <v>2.3496246423161087E-8</v>
      </c>
      <c r="O8" s="117" t="e">
        <f>'[1]BLOD reduced list'!$B8/'[1]BLOD reduced list'!H8</f>
        <v>#DIV/0!</v>
      </c>
      <c r="P8" s="117">
        <f>'[1]BLOD reduced list'!$B8*'[1]BLOD reduced list'!I8</f>
        <v>1.6223598720754084E-8</v>
      </c>
    </row>
    <row r="9" spans="1:16" ht="16" x14ac:dyDescent="0.2">
      <c r="A9" s="48" t="s">
        <v>89</v>
      </c>
      <c r="B9" s="49">
        <v>2.8037383177570096E-8</v>
      </c>
      <c r="C9" s="116">
        <v>8</v>
      </c>
      <c r="D9" s="116">
        <v>9</v>
      </c>
      <c r="E9" s="116">
        <v>7</v>
      </c>
      <c r="F9" s="116">
        <v>7</v>
      </c>
      <c r="G9" s="116">
        <v>8</v>
      </c>
      <c r="H9" s="116">
        <v>8</v>
      </c>
      <c r="I9" s="116">
        <v>6</v>
      </c>
      <c r="J9" s="117">
        <f>'[1]BLOD reduced list'!$B9/'[1]BLOD reduced list'!C9</f>
        <v>2.8904518739762984E-5</v>
      </c>
      <c r="K9" s="117">
        <f>'[1]BLOD reduced list'!$B9/'[1]BLOD reduced list'!D9</f>
        <v>3.3861573885954225E-6</v>
      </c>
      <c r="L9" s="117">
        <f>'[1]BLOD reduced list'!$B9*'[1]BLOD reduced list'!E9</f>
        <v>5.775700934579439E-9</v>
      </c>
      <c r="M9" s="117">
        <f>'[1]BLOD reduced list'!$B9*'[1]BLOD reduced list'!F9</f>
        <v>6.476635514018692E-8</v>
      </c>
      <c r="N9" s="117">
        <f>'[1]BLOD reduced list'!$B9*'[1]BLOD reduced list'!G9</f>
        <v>1.6598130841121497E-8</v>
      </c>
      <c r="O9" s="117">
        <f>'[1]BLOD reduced list'!$B9/'[1]BLOD reduced list'!H9</f>
        <v>5.5471239271862332E-11</v>
      </c>
      <c r="P9" s="117">
        <f>'[1]BLOD reduced list'!$B9*'[1]BLOD reduced list'!I9</f>
        <v>5.775700934579439E-9</v>
      </c>
    </row>
    <row r="10" spans="1:16" ht="16" x14ac:dyDescent="0.2">
      <c r="A10" s="48" t="s">
        <v>164</v>
      </c>
      <c r="B10" s="49">
        <v>2.5284854692100878E-8</v>
      </c>
      <c r="C10" s="116">
        <v>9</v>
      </c>
      <c r="D10" s="116">
        <v>10</v>
      </c>
      <c r="E10" s="116">
        <v>8</v>
      </c>
      <c r="F10" s="116">
        <v>8</v>
      </c>
      <c r="G10" s="116">
        <v>10</v>
      </c>
      <c r="H10" s="116">
        <v>10</v>
      </c>
      <c r="I10" s="116">
        <v>3</v>
      </c>
      <c r="J10" s="117">
        <f>'[1]BLOD reduced list'!$B10/'[1]BLOD reduced list'!C10</f>
        <v>2.6338390304271746E-5</v>
      </c>
      <c r="K10" s="117">
        <f>'[1]BLOD reduced list'!$B10/'[1]BLOD reduced list'!D10</f>
        <v>2.981704562747745E-6</v>
      </c>
      <c r="L10" s="117">
        <f>'[1]BLOD reduced list'!$B10*'[1]BLOD reduced list'!E10</f>
        <v>4.3742798617334518E-9</v>
      </c>
      <c r="M10" s="117">
        <f>'[1]BLOD reduced list'!$B10*'[1]BLOD reduced list'!F10</f>
        <v>5.0569709384201756E-8</v>
      </c>
      <c r="N10" s="117">
        <f>'[1]BLOD reduced list'!$B10*'[1]BLOD reduced list'!G10</f>
        <v>1.178274228651901E-8</v>
      </c>
      <c r="O10" s="117">
        <f>'[1]BLOD reduced list'!$B10/'[1]BLOD reduced list'!H10</f>
        <v>4.6500027019458732E-10</v>
      </c>
      <c r="P10" s="117">
        <f>'[1]BLOD reduced list'!$B10*'[1]BLOD reduced list'!I10</f>
        <v>4.3742798617334518E-9</v>
      </c>
    </row>
    <row r="11" spans="1:16" ht="16" x14ac:dyDescent="0.2">
      <c r="A11" s="48" t="s">
        <v>85</v>
      </c>
      <c r="B11" s="49">
        <v>1.8007937524004609E-8</v>
      </c>
      <c r="C11" s="116">
        <v>10</v>
      </c>
      <c r="D11" s="116">
        <v>11</v>
      </c>
      <c r="E11" s="116">
        <v>9</v>
      </c>
      <c r="F11" s="116">
        <v>10</v>
      </c>
      <c r="G11" s="116">
        <v>11</v>
      </c>
      <c r="H11" s="116">
        <v>11</v>
      </c>
      <c r="I11" s="116">
        <v>13</v>
      </c>
      <c r="J11" s="117">
        <f>'[1]BLOD reduced list'!$B11/'[1]BLOD reduced list'!C11</f>
        <v>1.8488642221770647E-5</v>
      </c>
      <c r="K11" s="117">
        <f>'[1]BLOD reduced list'!$B11/'[1]BLOD reduced list'!D11</f>
        <v>2.1880847538280208E-6</v>
      </c>
      <c r="L11" s="117">
        <f>'[1]BLOD reduced list'!$B11*'[1]BLOD reduced list'!E11</f>
        <v>3.7996748175649725E-9</v>
      </c>
      <c r="M11" s="117">
        <f>'[1]BLOD reduced list'!$B11*'[1]BLOD reduced list'!F11</f>
        <v>4.1598335680450647E-8</v>
      </c>
      <c r="N11" s="117">
        <f>'[1]BLOD reduced list'!$B11*'[1]BLOD reduced list'!G11</f>
        <v>1.0228508513634617E-8</v>
      </c>
      <c r="O11" s="117">
        <f>'[1]BLOD reduced list'!$B11/'[1]BLOD reduced list'!H11</f>
        <v>1.800793752400461E-12</v>
      </c>
      <c r="P11" s="117">
        <f>'[1]BLOD reduced list'!$B11*'[1]BLOD reduced list'!I11</f>
        <v>3.7996748175649725E-9</v>
      </c>
    </row>
    <row r="12" spans="1:16" ht="16" x14ac:dyDescent="0.2">
      <c r="A12" s="48" t="s">
        <v>87</v>
      </c>
      <c r="B12" s="49">
        <v>1.533734477019588E-8</v>
      </c>
      <c r="C12" s="116">
        <v>11</v>
      </c>
      <c r="D12" s="116">
        <v>12</v>
      </c>
      <c r="E12" s="116">
        <v>10</v>
      </c>
      <c r="F12" s="116">
        <v>11</v>
      </c>
      <c r="G12" s="116">
        <v>13</v>
      </c>
      <c r="H12" s="116">
        <v>13</v>
      </c>
      <c r="I12" s="116">
        <v>14</v>
      </c>
      <c r="J12" s="117">
        <f>'[1]BLOD reduced list'!$B12/'[1]BLOD reduced list'!C12</f>
        <v>1.5795411709779486E-5</v>
      </c>
      <c r="K12" s="117">
        <f>'[1]BLOD reduced list'!$B12/'[1]BLOD reduced list'!D12</f>
        <v>1.8681296918630791E-6</v>
      </c>
      <c r="L12" s="117">
        <f>'[1]BLOD reduced list'!$B12*'[1]BLOD reduced list'!E12</f>
        <v>3.2208424017411347E-9</v>
      </c>
      <c r="M12" s="117">
        <f>'[1]BLOD reduced list'!$B12*'[1]BLOD reduced list'!F12</f>
        <v>3.5275892971450523E-8</v>
      </c>
      <c r="N12" s="117">
        <f>'[1]BLOD reduced list'!$B12*'[1]BLOD reduced list'!G12</f>
        <v>8.8343105876328256E-9</v>
      </c>
      <c r="O12" s="117">
        <f>'[1]BLOD reduced list'!$B12/'[1]BLOD reduced list'!H12</f>
        <v>1.533734477019588E-12</v>
      </c>
      <c r="P12" s="117">
        <f>'[1]BLOD reduced list'!$B12*'[1]BLOD reduced list'!I12</f>
        <v>3.2208424017411347E-9</v>
      </c>
    </row>
    <row r="13" spans="1:16" ht="16" x14ac:dyDescent="0.2">
      <c r="A13" s="48" t="s">
        <v>150</v>
      </c>
      <c r="B13" s="49">
        <v>3.3109128653986418E-9</v>
      </c>
      <c r="C13" s="116">
        <v>12</v>
      </c>
      <c r="D13" s="116">
        <v>8</v>
      </c>
      <c r="E13" s="116">
        <v>11</v>
      </c>
      <c r="F13" s="116">
        <v>12</v>
      </c>
      <c r="G13" s="116">
        <v>12</v>
      </c>
      <c r="H13" s="116">
        <v>14</v>
      </c>
      <c r="I13" s="118"/>
      <c r="J13" s="117">
        <f>'[1]BLOD reduced list'!$B13/'[1]BLOD reduced list'!C13</f>
        <v>4.703001229259434E-5</v>
      </c>
      <c r="K13" s="117">
        <f>'[1]BLOD reduced list'!$B13/'[1]BLOD reduced list'!D13</f>
        <v>7.5419427457827839E-7</v>
      </c>
      <c r="L13" s="117">
        <f>'[1]BLOD reduced list'!$B13*'[1]BLOD reduced list'!E13</f>
        <v>2.1090514952589348E-9</v>
      </c>
      <c r="M13" s="117">
        <f>'[1]BLOD reduced list'!$B13*'[1]BLOD reduced list'!F13</f>
        <v>3.807549795208438E-8</v>
      </c>
      <c r="N13" s="117">
        <f>'[1]BLOD reduced list'!$B13*'[1]BLOD reduced list'!G13</f>
        <v>7.5488813331089021E-9</v>
      </c>
      <c r="O13" s="117" t="e">
        <f>'[1]BLOD reduced list'!$B13/'[1]BLOD reduced list'!H13</f>
        <v>#DIV/0!</v>
      </c>
      <c r="P13" s="117">
        <f>'[1]BLOD reduced list'!$B13*'[1]BLOD reduced list'!I13</f>
        <v>2.1090514952589348E-9</v>
      </c>
    </row>
    <row r="14" spans="1:16" ht="16" x14ac:dyDescent="0.2">
      <c r="A14" s="48" t="s">
        <v>1285</v>
      </c>
      <c r="B14" s="49">
        <v>2.3618799522413982E-9</v>
      </c>
      <c r="C14" s="116">
        <v>13</v>
      </c>
      <c r="D14" s="116">
        <v>26</v>
      </c>
      <c r="E14" s="116">
        <v>17</v>
      </c>
      <c r="F14" s="116">
        <v>9</v>
      </c>
      <c r="G14" s="116">
        <v>9</v>
      </c>
      <c r="H14" s="116">
        <v>6</v>
      </c>
      <c r="I14" s="116">
        <v>15</v>
      </c>
      <c r="J14" s="117">
        <f>'[1]BLOD reduced list'!$B14/'[1]BLOD reduced list'!C14</f>
        <v>5.9046998806034956E-8</v>
      </c>
      <c r="K14" s="117">
        <f>'[1]BLOD reduced list'!$B14/'[1]BLOD reduced list'!D14</f>
        <v>5.2023787494303922E-8</v>
      </c>
      <c r="L14" s="117">
        <f>'[1]BLOD reduced list'!$B14*'[1]BLOD reduced list'!E14</f>
        <v>3.8026267231086514E-9</v>
      </c>
      <c r="M14" s="117">
        <f>'[1]BLOD reduced list'!$B14*'[1]BLOD reduced list'!F14</f>
        <v>5.9755562791707371E-8</v>
      </c>
      <c r="N14" s="117">
        <f>'[1]BLOD reduced list'!$B14*'[1]BLOD reduced list'!G14</f>
        <v>3.5428199283620974E-8</v>
      </c>
      <c r="O14" s="117">
        <f>'[1]BLOD reduced list'!$B14/'[1]BLOD reduced list'!H14</f>
        <v>2.3618799522413983E-13</v>
      </c>
      <c r="P14" s="117">
        <f>'[1]BLOD reduced list'!$B14*'[1]BLOD reduced list'!I14</f>
        <v>3.8026267231086514E-9</v>
      </c>
    </row>
    <row r="15" spans="1:16" ht="16" x14ac:dyDescent="0.2">
      <c r="A15" s="48" t="s">
        <v>1286</v>
      </c>
      <c r="B15" s="49">
        <v>2.2254523880154259E-9</v>
      </c>
      <c r="C15" s="116">
        <v>14</v>
      </c>
      <c r="D15" s="116">
        <v>14</v>
      </c>
      <c r="E15" s="116">
        <v>14</v>
      </c>
      <c r="F15" s="116">
        <v>14</v>
      </c>
      <c r="G15" s="116">
        <v>15</v>
      </c>
      <c r="H15" s="116">
        <v>17</v>
      </c>
      <c r="I15" s="116">
        <v>8</v>
      </c>
      <c r="J15" s="117">
        <f>'[1]BLOD reduced list'!$B15/'[1]BLOD reduced list'!C15</f>
        <v>1.0024560306375792E-5</v>
      </c>
      <c r="K15" s="117">
        <f>'[1]BLOD reduced list'!$B15/'[1]BLOD reduced list'!D15</f>
        <v>2.2254523880154259E-7</v>
      </c>
      <c r="L15" s="117">
        <f>'[1]BLOD reduced list'!$B15*'[1]BLOD reduced list'!E15</f>
        <v>1.5066312666864434E-9</v>
      </c>
      <c r="M15" s="117">
        <f>'[1]BLOD reduced list'!$B15*'[1]BLOD reduced list'!F15</f>
        <v>1.1416570750519134E-8</v>
      </c>
      <c r="N15" s="117">
        <f>'[1]BLOD reduced list'!$B15*'[1]BLOD reduced list'!G15</f>
        <v>2.3589795312963515E-9</v>
      </c>
      <c r="O15" s="117">
        <f>'[1]BLOD reduced list'!$B15/'[1]BLOD reduced list'!H15</f>
        <v>3.630546490938409E-11</v>
      </c>
      <c r="P15" s="117">
        <f>'[1]BLOD reduced list'!$B15*'[1]BLOD reduced list'!I15</f>
        <v>1.5066312666864434E-9</v>
      </c>
    </row>
    <row r="16" spans="1:16" ht="16" x14ac:dyDescent="0.2">
      <c r="A16" s="48" t="s">
        <v>128</v>
      </c>
      <c r="B16" s="49">
        <v>1.1029388816644995E-9</v>
      </c>
      <c r="C16" s="116">
        <v>15</v>
      </c>
      <c r="D16" s="116">
        <v>27</v>
      </c>
      <c r="E16" s="116">
        <v>18</v>
      </c>
      <c r="F16" s="116">
        <v>13</v>
      </c>
      <c r="G16" s="116">
        <v>14</v>
      </c>
      <c r="H16" s="116">
        <v>9</v>
      </c>
      <c r="I16" s="116">
        <v>9</v>
      </c>
      <c r="J16" s="117">
        <f>'[1]BLOD reduced list'!$B16/'[1]BLOD reduced list'!C16</f>
        <v>3.6764629388816647E-8</v>
      </c>
      <c r="K16" s="117">
        <f>'[1]BLOD reduced list'!$B16/'[1]BLOD reduced list'!D16</f>
        <v>3.6764629388816647E-8</v>
      </c>
      <c r="L16" s="117">
        <f>'[1]BLOD reduced list'!$B16*'[1]BLOD reduced list'!E16</f>
        <v>1.7536728218465543E-9</v>
      </c>
      <c r="M16" s="117">
        <f>'[1]BLOD reduced list'!$B16*'[1]BLOD reduced list'!F16</f>
        <v>2.7132296488946688E-8</v>
      </c>
      <c r="N16" s="117">
        <f>'[1]BLOD reduced list'!$B16*'[1]BLOD reduced list'!G16</f>
        <v>1.4889674902470742E-8</v>
      </c>
      <c r="O16" s="117">
        <f>'[1]BLOD reduced list'!$B16/'[1]BLOD reduced list'!H16</f>
        <v>2.3963387686622765E-11</v>
      </c>
      <c r="P16" s="117">
        <f>'[1]BLOD reduced list'!$B16*'[1]BLOD reduced list'!I16</f>
        <v>1.7536728218465543E-9</v>
      </c>
    </row>
    <row r="17" spans="1:16" ht="16" x14ac:dyDescent="0.2">
      <c r="A17" s="48" t="s">
        <v>139</v>
      </c>
      <c r="B17" s="49">
        <v>9.4358467243510483E-10</v>
      </c>
      <c r="C17" s="116">
        <v>16</v>
      </c>
      <c r="D17" s="116">
        <v>13</v>
      </c>
      <c r="E17" s="116">
        <v>13</v>
      </c>
      <c r="F17" s="116">
        <v>15</v>
      </c>
      <c r="G17" s="116">
        <v>16</v>
      </c>
      <c r="H17" s="116">
        <v>16</v>
      </c>
      <c r="I17" s="118"/>
      <c r="J17" s="117">
        <f>'[1]BLOD reduced list'!$B17/'[1]BLOD reduced list'!C17</f>
        <v>1.3441377100215169E-5</v>
      </c>
      <c r="K17" s="117">
        <f>'[1]BLOD reduced list'!$B17/'[1]BLOD reduced list'!D17</f>
        <v>2.9213147753408817E-7</v>
      </c>
      <c r="L17" s="117">
        <f>'[1]BLOD reduced list'!$B17*'[1]BLOD reduced list'!E17</f>
        <v>7.9732904820766358E-10</v>
      </c>
      <c r="M17" s="117">
        <f>'[1]BLOD reduced list'!$B17*'[1]BLOD reduced list'!F17</f>
        <v>1.1039940667490726E-8</v>
      </c>
      <c r="N17" s="117">
        <f>'[1]BLOD reduced list'!$B17*'[1]BLOD reduced list'!G17</f>
        <v>2.9628558714462292E-9</v>
      </c>
      <c r="O17" s="117" t="e">
        <f>'[1]BLOD reduced list'!$B17/'[1]BLOD reduced list'!H17</f>
        <v>#DIV/0!</v>
      </c>
      <c r="P17" s="117">
        <f>'[1]BLOD reduced list'!$B17*'[1]BLOD reduced list'!I17</f>
        <v>7.9732904820766358E-10</v>
      </c>
    </row>
    <row r="18" spans="1:16" ht="16" x14ac:dyDescent="0.2">
      <c r="A18" s="48" t="s">
        <v>5</v>
      </c>
      <c r="B18" s="49">
        <v>3.1878120599155035E-10</v>
      </c>
      <c r="C18" s="116">
        <v>17</v>
      </c>
      <c r="D18" s="116">
        <v>15</v>
      </c>
      <c r="E18" s="116">
        <v>15</v>
      </c>
      <c r="F18" s="116">
        <v>17</v>
      </c>
      <c r="G18" s="116">
        <v>18</v>
      </c>
      <c r="H18" s="116">
        <v>19</v>
      </c>
      <c r="I18" s="116">
        <v>12</v>
      </c>
      <c r="J18" s="117">
        <f>'[1]BLOD reduced list'!$B18/'[1]BLOD reduced list'!C18</f>
        <v>4.8594696035297316E-6</v>
      </c>
      <c r="K18" s="117">
        <f>'[1]BLOD reduced list'!$B18/'[1]BLOD reduced list'!D18</f>
        <v>7.0998041423507872E-8</v>
      </c>
      <c r="L18" s="117">
        <f>'[1]BLOD reduced list'!$B18*'[1]BLOD reduced list'!E18</f>
        <v>1.7883625656125976E-10</v>
      </c>
      <c r="M18" s="117">
        <f>'[1]BLOD reduced list'!$B18*'[1]BLOD reduced list'!F18</f>
        <v>3.6659838689028291E-9</v>
      </c>
      <c r="N18" s="117">
        <f>'[1]BLOD reduced list'!$B18*'[1]BLOD reduced list'!G18</f>
        <v>6.3437459992318519E-10</v>
      </c>
      <c r="O18" s="117">
        <f>'[1]BLOD reduced list'!$B18/'[1]BLOD reduced list'!H18</f>
        <v>5.6475428904005662E-12</v>
      </c>
      <c r="P18" s="117">
        <f>'[1]BLOD reduced list'!$B18*'[1]BLOD reduced list'!I18</f>
        <v>1.7883625656125976E-10</v>
      </c>
    </row>
    <row r="19" spans="1:16" ht="16" x14ac:dyDescent="0.2">
      <c r="A19" s="48" t="s">
        <v>129</v>
      </c>
      <c r="B19" s="49">
        <v>1.9712201852946973E-10</v>
      </c>
      <c r="C19" s="116">
        <v>18</v>
      </c>
      <c r="D19" s="116">
        <v>16</v>
      </c>
      <c r="E19" s="116">
        <v>16</v>
      </c>
      <c r="F19" s="116">
        <v>16</v>
      </c>
      <c r="G19" s="116">
        <v>17</v>
      </c>
      <c r="H19" s="116">
        <v>15</v>
      </c>
      <c r="I19" s="116">
        <v>10</v>
      </c>
      <c r="J19" s="117">
        <f>'[1]BLOD reduced list'!$B19/'[1]BLOD reduced list'!C19</f>
        <v>3.009496466098774E-6</v>
      </c>
      <c r="K19" s="117">
        <f>'[1]BLOD reduced list'!$B19/'[1]BLOD reduced list'!D19</f>
        <v>7.0400720903382052E-8</v>
      </c>
      <c r="L19" s="117">
        <f>'[1]BLOD reduced list'!$B19*'[1]BLOD reduced list'!E19</f>
        <v>6.091070372560614E-10</v>
      </c>
      <c r="M19" s="117">
        <f>'[1]BLOD reduced list'!$B19*'[1]BLOD reduced list'!F19</f>
        <v>5.8545239503252505E-9</v>
      </c>
      <c r="N19" s="117">
        <f>'[1]BLOD reduced list'!$B19*'[1]BLOD reduced list'!G19</f>
        <v>6.0516459688547208E-9</v>
      </c>
      <c r="O19" s="117">
        <f>'[1]BLOD reduced list'!$B19/'[1]BLOD reduced list'!H19</f>
        <v>1.9344653437631967E-11</v>
      </c>
      <c r="P19" s="117">
        <f>'[1]BLOD reduced list'!$B19*'[1]BLOD reduced list'!I19</f>
        <v>6.091070372560614E-10</v>
      </c>
    </row>
    <row r="20" spans="1:16" ht="16" x14ac:dyDescent="0.2">
      <c r="A20" s="48" t="s">
        <v>165</v>
      </c>
      <c r="B20" s="49">
        <v>6.7212904877736511E-11</v>
      </c>
      <c r="C20" s="116">
        <v>19</v>
      </c>
      <c r="D20" s="116">
        <v>17</v>
      </c>
      <c r="E20" s="116">
        <v>19</v>
      </c>
      <c r="F20" s="116">
        <v>18</v>
      </c>
      <c r="G20" s="116">
        <v>19</v>
      </c>
      <c r="H20" s="116">
        <v>21</v>
      </c>
      <c r="I20" s="116">
        <v>19</v>
      </c>
      <c r="J20" s="117">
        <f>'[1]BLOD reduced list'!$B20/'[1]BLOD reduced list'!C20</f>
        <v>9.6018435539623591E-7</v>
      </c>
      <c r="K20" s="117">
        <f>'[1]BLOD reduced list'!$B20/'[1]BLOD reduced list'!D20</f>
        <v>2.0554405161387312E-8</v>
      </c>
      <c r="L20" s="117">
        <f>'[1]BLOD reduced list'!$B20*'[1]BLOD reduced list'!E20</f>
        <v>8.1999743950838545E-11</v>
      </c>
      <c r="M20" s="117">
        <f>'[1]BLOD reduced list'!$B20*'[1]BLOD reduced list'!F20</f>
        <v>1.2232748687748045E-9</v>
      </c>
      <c r="N20" s="117">
        <f>'[1]BLOD reduced list'!$B20*'[1]BLOD reduced list'!G20</f>
        <v>4.220970426321853E-10</v>
      </c>
      <c r="O20" s="117">
        <f>'[1]BLOD reduced list'!$B20/'[1]BLOD reduced list'!H20</f>
        <v>9.0901954121904946E-14</v>
      </c>
      <c r="P20" s="117">
        <f>'[1]BLOD reduced list'!$B20*'[1]BLOD reduced list'!I20</f>
        <v>8.1999743950838545E-11</v>
      </c>
    </row>
    <row r="21" spans="1:16" ht="16" x14ac:dyDescent="0.2">
      <c r="A21" s="48" t="s">
        <v>158</v>
      </c>
      <c r="B21" s="49">
        <v>3.2766490771272771E-11</v>
      </c>
      <c r="C21" s="116">
        <v>20</v>
      </c>
      <c r="D21" s="116">
        <v>18</v>
      </c>
      <c r="E21" s="116">
        <v>20</v>
      </c>
      <c r="F21" s="116">
        <v>19</v>
      </c>
      <c r="G21" s="116">
        <v>20</v>
      </c>
      <c r="H21" s="116">
        <v>18</v>
      </c>
      <c r="I21" s="118"/>
      <c r="J21" s="117">
        <f>'[1]BLOD reduced list'!$B21/'[1]BLOD reduced list'!C21</f>
        <v>9.4700840379401068E-7</v>
      </c>
      <c r="K21" s="117">
        <f>'[1]BLOD reduced list'!$B21/'[1]BLOD reduced list'!D21</f>
        <v>1.3884106259013885E-8</v>
      </c>
      <c r="L21" s="117">
        <f>'[1]BLOD reduced list'!$B21*'[1]BLOD reduced list'!E21</f>
        <v>5.1771055418610983E-11</v>
      </c>
      <c r="M21" s="117">
        <f>'[1]BLOD reduced list'!$B21*'[1]BLOD reduced list'!F21</f>
        <v>8.7486530359298291E-10</v>
      </c>
      <c r="N21" s="117">
        <f>'[1]BLOD reduced list'!$B21*'[1]BLOD reduced list'!G21</f>
        <v>8.9780184713287383E-10</v>
      </c>
      <c r="O21" s="117" t="e">
        <f>'[1]BLOD reduced list'!$B21/'[1]BLOD reduced list'!H21</f>
        <v>#DIV/0!</v>
      </c>
      <c r="P21" s="117">
        <f>'[1]BLOD reduced list'!$B21*'[1]BLOD reduced list'!I21</f>
        <v>5.1771055418610983E-11</v>
      </c>
    </row>
    <row r="22" spans="1:16" ht="16" x14ac:dyDescent="0.2">
      <c r="A22" s="48" t="s">
        <v>159</v>
      </c>
      <c r="B22" s="49">
        <v>1.2782099803756656E-11</v>
      </c>
      <c r="C22" s="116">
        <v>21</v>
      </c>
      <c r="D22" s="116">
        <v>20</v>
      </c>
      <c r="E22" s="116">
        <v>24</v>
      </c>
      <c r="F22" s="116">
        <v>21</v>
      </c>
      <c r="G22" s="116">
        <v>23</v>
      </c>
      <c r="H22" s="116">
        <v>20</v>
      </c>
      <c r="I22" s="116">
        <v>16</v>
      </c>
      <c r="J22" s="117">
        <f>'[1]BLOD reduced list'!$B22/'[1]BLOD reduced list'!C22</f>
        <v>3.570418939596831E-7</v>
      </c>
      <c r="K22" s="117">
        <f>'[1]BLOD reduced list'!$B22/'[1]BLOD reduced list'!D22</f>
        <v>5.112839921502662E-9</v>
      </c>
      <c r="L22" s="117">
        <f>'[1]BLOD reduced list'!$B22*'[1]BLOD reduced list'!E22</f>
        <v>2.3774705634987382E-11</v>
      </c>
      <c r="M22" s="117">
        <f>'[1]BLOD reduced list'!$B22*'[1]BLOD reduced list'!F22</f>
        <v>2.7353693580039243E-10</v>
      </c>
      <c r="N22" s="117">
        <f>'[1]BLOD reduced list'!$B22*'[1]BLOD reduced list'!G22</f>
        <v>5.2534430193439856E-10</v>
      </c>
      <c r="O22" s="117">
        <f>'[1]BLOD reduced list'!$B22/'[1]BLOD reduced list'!H22</f>
        <v>2.1816179900591662E-13</v>
      </c>
      <c r="P22" s="117">
        <f>'[1]BLOD reduced list'!$B22*'[1]BLOD reduced list'!I22</f>
        <v>2.3774705634987382E-11</v>
      </c>
    </row>
    <row r="23" spans="1:16" ht="16" x14ac:dyDescent="0.2">
      <c r="A23" s="48" t="s">
        <v>122</v>
      </c>
      <c r="B23" s="49">
        <v>1.2728290176527447E-11</v>
      </c>
      <c r="C23" s="116">
        <v>22</v>
      </c>
      <c r="D23" s="116">
        <v>19</v>
      </c>
      <c r="E23" s="116">
        <v>21</v>
      </c>
      <c r="F23" s="116">
        <v>27</v>
      </c>
      <c r="G23" s="116">
        <v>24</v>
      </c>
      <c r="H23" s="116">
        <v>23</v>
      </c>
      <c r="I23" s="116">
        <v>17</v>
      </c>
      <c r="J23" s="117">
        <f>'[1]BLOD reduced list'!$B23/'[1]BLOD reduced list'!C23</f>
        <v>3.9651994319400147E-7</v>
      </c>
      <c r="K23" s="117">
        <f>'[1]BLOD reduced list'!$B23/'[1]BLOD reduced list'!D23</f>
        <v>9.091635840376748E-9</v>
      </c>
      <c r="L23" s="117">
        <f>'[1]BLOD reduced list'!$B23*'[1]BLOD reduced list'!E23</f>
        <v>1.4001119194180193E-15</v>
      </c>
      <c r="M23" s="117">
        <f>'[1]BLOD reduced list'!$B23*'[1]BLOD reduced list'!F23</f>
        <v>2.6729409370707638E-10</v>
      </c>
      <c r="N23" s="117">
        <f>'[1]BLOD reduced list'!$B23*'[1]BLOD reduced list'!G23</f>
        <v>2.6729409370707638E-10</v>
      </c>
      <c r="O23" s="117">
        <f>'[1]BLOD reduced list'!$B23/'[1]BLOD reduced list'!H23</f>
        <v>1.9543199153261138E-13</v>
      </c>
      <c r="P23" s="117">
        <f>'[1]BLOD reduced list'!$B23*'[1]BLOD reduced list'!I23</f>
        <v>1.5528514015363486E-11</v>
      </c>
    </row>
    <row r="24" spans="1:16" ht="16" x14ac:dyDescent="0.2">
      <c r="A24" s="48" t="s">
        <v>153</v>
      </c>
      <c r="B24" s="49">
        <v>1.0981251095146313E-11</v>
      </c>
      <c r="C24" s="116">
        <v>23</v>
      </c>
      <c r="D24" s="116">
        <v>21</v>
      </c>
      <c r="E24" s="116">
        <v>23</v>
      </c>
      <c r="F24" s="116">
        <v>22</v>
      </c>
      <c r="G24" s="116">
        <v>22</v>
      </c>
      <c r="H24" s="116">
        <v>22</v>
      </c>
      <c r="I24" s="118"/>
      <c r="J24" s="117">
        <f>'[1]BLOD reduced list'!$B24/'[1]BLOD reduced list'!C24</f>
        <v>3.0418978102898369E-7</v>
      </c>
      <c r="K24" s="117">
        <f>'[1]BLOD reduced list'!$B24/'[1]BLOD reduced list'!D24</f>
        <v>5.4906255475731562E-9</v>
      </c>
      <c r="L24" s="117">
        <f>'[1]BLOD reduced list'!$B24*'[1]BLOD reduced list'!E24</f>
        <v>1.5922814087962154E-11</v>
      </c>
      <c r="M24" s="117">
        <f>'[1]BLOD reduced list'!$B24*'[1]BLOD reduced list'!F24</f>
        <v>2.8441440336428951E-10</v>
      </c>
      <c r="N24" s="117">
        <f>'[1]BLOD reduced list'!$B24*'[1]BLOD reduced list'!G24</f>
        <v>2.7892377781671632E-10</v>
      </c>
      <c r="O24" s="117" t="e">
        <f>'[1]BLOD reduced list'!$B24/'[1]BLOD reduced list'!H24</f>
        <v>#DIV/0!</v>
      </c>
      <c r="P24" s="117">
        <f>'[1]BLOD reduced list'!$B24*'[1]BLOD reduced list'!I24</f>
        <v>1.5922814087962154E-11</v>
      </c>
    </row>
    <row r="25" spans="1:16" ht="16" x14ac:dyDescent="0.2">
      <c r="A25" s="48" t="s">
        <v>123</v>
      </c>
      <c r="B25" s="49">
        <v>9.5533567597558709E-12</v>
      </c>
      <c r="C25" s="116">
        <v>24</v>
      </c>
      <c r="D25" s="116">
        <v>22</v>
      </c>
      <c r="E25" s="116">
        <v>22</v>
      </c>
      <c r="F25" s="116">
        <v>30</v>
      </c>
      <c r="G25" s="116">
        <v>27</v>
      </c>
      <c r="H25" s="116">
        <v>26</v>
      </c>
      <c r="I25" s="116">
        <v>18</v>
      </c>
      <c r="J25" s="117">
        <f>'[1]BLOD reduced list'!$B25/'[1]BLOD reduced list'!C25</f>
        <v>2.9668809812906434E-7</v>
      </c>
      <c r="K25" s="117">
        <f>'[1]BLOD reduced list'!$B25/'[1]BLOD reduced list'!D25</f>
        <v>6.8238262569684793E-9</v>
      </c>
      <c r="L25" s="117">
        <f>'[1]BLOD reduced list'!$B25*'[1]BLOD reduced list'!E25</f>
        <v>1.0508692435731457E-16</v>
      </c>
      <c r="M25" s="117">
        <f>'[1]BLOD reduced list'!$B25*'[1]BLOD reduced list'!F25</f>
        <v>1.9106713519511742E-11</v>
      </c>
      <c r="N25" s="117">
        <f>'[1]BLOD reduced list'!$B25*'[1]BLOD reduced list'!G25</f>
        <v>1.9106713519511742E-11</v>
      </c>
      <c r="O25" s="117">
        <f>'[1]BLOD reduced list'!$B25/'[1]BLOD reduced list'!H25</f>
        <v>1.709926035395717E-13</v>
      </c>
      <c r="P25" s="117">
        <f>'[1]BLOD reduced list'!$B25*'[1]BLOD reduced list'!I25</f>
        <v>1.0508692435731457E-16</v>
      </c>
    </row>
    <row r="26" spans="1:16" ht="16" x14ac:dyDescent="0.2">
      <c r="A26" s="48" t="s">
        <v>151</v>
      </c>
      <c r="B26" s="49">
        <v>8.0405721716514941E-12</v>
      </c>
      <c r="C26" s="116">
        <v>25</v>
      </c>
      <c r="D26" s="116">
        <v>23</v>
      </c>
      <c r="E26" s="116">
        <v>25</v>
      </c>
      <c r="F26" s="116">
        <v>23</v>
      </c>
      <c r="G26" s="116">
        <v>21</v>
      </c>
      <c r="H26" s="116">
        <v>24</v>
      </c>
      <c r="I26" s="118"/>
      <c r="J26" s="117">
        <f>'[1]BLOD reduced list'!$B26/'[1]BLOD reduced list'!C26</f>
        <v>1.5492431929964342E-7</v>
      </c>
      <c r="K26" s="117">
        <f>'[1]BLOD reduced list'!$B26/'[1]BLOD reduced list'!D26</f>
        <v>4.7297483362655849E-9</v>
      </c>
      <c r="L26" s="117">
        <f>'[1]BLOD reduced list'!$B26*'[1]BLOD reduced list'!E26</f>
        <v>9.648686605981792E-12</v>
      </c>
      <c r="M26" s="117">
        <f>'[1]BLOD reduced list'!$B26*'[1]BLOD reduced list'!F26</f>
        <v>3.0312957087126134E-10</v>
      </c>
      <c r="N26" s="117">
        <f>'[1]BLOD reduced list'!$B26*'[1]BLOD reduced list'!G26</f>
        <v>2.2111573472041609E-10</v>
      </c>
      <c r="O26" s="117" t="e">
        <f>'[1]BLOD reduced list'!$B26/'[1]BLOD reduced list'!H26</f>
        <v>#DIV/0!</v>
      </c>
      <c r="P26" s="117">
        <f>'[1]BLOD reduced list'!$B26*'[1]BLOD reduced list'!I26</f>
        <v>9.648686605981792E-12</v>
      </c>
    </row>
    <row r="27" spans="1:16" ht="16" x14ac:dyDescent="0.2">
      <c r="A27" s="48" t="s">
        <v>144</v>
      </c>
      <c r="B27" s="49">
        <v>3.6103202067545667E-12</v>
      </c>
      <c r="C27" s="116">
        <v>26</v>
      </c>
      <c r="D27" s="116">
        <v>24</v>
      </c>
      <c r="E27" s="116">
        <v>26</v>
      </c>
      <c r="F27" s="116">
        <v>24</v>
      </c>
      <c r="G27" s="116">
        <v>25</v>
      </c>
      <c r="H27" s="116">
        <v>25</v>
      </c>
      <c r="I27" s="116">
        <v>22</v>
      </c>
      <c r="J27" s="117">
        <f>'[1]BLOD reduced list'!$B27/'[1]BLOD reduced list'!C27</f>
        <v>1.0434451464608575E-7</v>
      </c>
      <c r="K27" s="117">
        <f>'[1]BLOD reduced list'!$B27/'[1]BLOD reduced list'!D27</f>
        <v>2.5788001476818332E-9</v>
      </c>
      <c r="L27" s="117">
        <f>'[1]BLOD reduced list'!$B27*'[1]BLOD reduced list'!E27</f>
        <v>4.3684874501730256E-12</v>
      </c>
      <c r="M27" s="117">
        <f>'[1]BLOD reduced list'!$B27*'[1]BLOD reduced list'!F27</f>
        <v>1.2347295107100618E-10</v>
      </c>
      <c r="N27" s="117">
        <f>'[1]BLOD reduced list'!$B27*'[1]BLOD reduced list'!G27</f>
        <v>8.6286652941434133E-11</v>
      </c>
      <c r="O27" s="117">
        <f>'[1]BLOD reduced list'!$B27/'[1]BLOD reduced list'!H27</f>
        <v>3.6103202067545668E-16</v>
      </c>
      <c r="P27" s="117">
        <f>'[1]BLOD reduced list'!$B27*'[1]BLOD reduced list'!I27</f>
        <v>4.3684874501730256E-12</v>
      </c>
    </row>
    <row r="28" spans="1:16" ht="16" x14ac:dyDescent="0.2">
      <c r="A28" s="48" t="s">
        <v>133</v>
      </c>
      <c r="B28" s="49">
        <v>1.3430043598890209E-12</v>
      </c>
      <c r="C28" s="116">
        <v>27</v>
      </c>
      <c r="D28" s="116">
        <v>28</v>
      </c>
      <c r="E28" s="116">
        <v>27</v>
      </c>
      <c r="F28" s="116">
        <v>29</v>
      </c>
      <c r="G28" s="116">
        <v>29</v>
      </c>
      <c r="H28" s="116">
        <v>28</v>
      </c>
      <c r="I28" s="116">
        <v>23</v>
      </c>
      <c r="J28" s="117">
        <f>'[1]BLOD reduced list'!$B28/'[1]BLOD reduced list'!C28</f>
        <v>2.8574560848702573E-8</v>
      </c>
      <c r="K28" s="117">
        <f>'[1]BLOD reduced list'!$B28/'[1]BLOD reduced list'!D28</f>
        <v>8.8355549992698736E-10</v>
      </c>
      <c r="L28" s="117">
        <f>'[1]BLOD reduced list'!$B28*'[1]BLOD reduced list'!E28</f>
        <v>1.4773047958779229E-16</v>
      </c>
      <c r="M28" s="117">
        <f>'[1]BLOD reduced list'!$B28*'[1]BLOD reduced list'!F28</f>
        <v>9.8039318271898525E-12</v>
      </c>
      <c r="N28" s="117">
        <f>'[1]BLOD reduced list'!$B28*'[1]BLOD reduced list'!G28</f>
        <v>9.8039318271898525E-12</v>
      </c>
      <c r="O28" s="117">
        <f>'[1]BLOD reduced list'!$B28/'[1]BLOD reduced list'!H28</f>
        <v>1.3430043598890208E-16</v>
      </c>
      <c r="P28" s="117">
        <f>'[1]BLOD reduced list'!$B28*'[1]BLOD reduced list'!I28</f>
        <v>2.3368275862068962E-12</v>
      </c>
    </row>
    <row r="29" spans="1:16" ht="16" x14ac:dyDescent="0.2">
      <c r="A29" s="48" t="s">
        <v>142</v>
      </c>
      <c r="B29" s="49">
        <v>8.279825604439159E-13</v>
      </c>
      <c r="C29" s="116">
        <v>28</v>
      </c>
      <c r="D29" s="116">
        <v>29</v>
      </c>
      <c r="E29" s="116">
        <v>28</v>
      </c>
      <c r="F29" s="116">
        <v>31</v>
      </c>
      <c r="G29" s="116">
        <v>30</v>
      </c>
      <c r="H29" s="116">
        <v>30</v>
      </c>
      <c r="I29" s="116">
        <v>20</v>
      </c>
      <c r="J29" s="117">
        <f>'[1]BLOD reduced list'!$B29/'[1]BLOD reduced list'!C29</f>
        <v>1.6363291708377786E-8</v>
      </c>
      <c r="K29" s="117">
        <f>'[1]BLOD reduced list'!$B29/'[1]BLOD reduced list'!D29</f>
        <v>5.9141611460279704E-10</v>
      </c>
      <c r="L29" s="117">
        <f>'[1]BLOD reduced list'!$B29*'[1]BLOD reduced list'!E29</f>
        <v>9.1078081648830749E-17</v>
      </c>
      <c r="M29" s="117">
        <f>'[1]BLOD reduced list'!$B29*'[1]BLOD reduced list'!F29</f>
        <v>5.0506936187078869E-12</v>
      </c>
      <c r="N29" s="117">
        <f>'[1]BLOD reduced list'!$B29*'[1]BLOD reduced list'!G29</f>
        <v>5.0506936187078869E-12</v>
      </c>
      <c r="O29" s="117">
        <f>'[1]BLOD reduced list'!$B29/'[1]BLOD reduced list'!H29</f>
        <v>6.0348583122734387E-14</v>
      </c>
      <c r="P29" s="117">
        <f>'[1]BLOD reduced list'!$B29*'[1]BLOD reduced list'!I29</f>
        <v>1.457249306381292E-12</v>
      </c>
    </row>
    <row r="30" spans="1:16" ht="16" x14ac:dyDescent="0.2">
      <c r="A30" s="48" t="s">
        <v>141</v>
      </c>
      <c r="B30" s="49">
        <v>4.0006341656757833E-13</v>
      </c>
      <c r="C30" s="116">
        <v>29</v>
      </c>
      <c r="D30" s="116">
        <v>30</v>
      </c>
      <c r="E30" s="116">
        <v>29</v>
      </c>
      <c r="F30" s="116">
        <v>26</v>
      </c>
      <c r="G30" s="116">
        <v>28</v>
      </c>
      <c r="H30" s="116">
        <v>27</v>
      </c>
      <c r="I30" s="116">
        <v>24</v>
      </c>
      <c r="J30" s="117">
        <f>'[1]BLOD reduced list'!$B30/'[1]BLOD reduced list'!C30</f>
        <v>7.9377662017376662E-9</v>
      </c>
      <c r="K30" s="117">
        <f>'[1]BLOD reduced list'!$B30/'[1]BLOD reduced list'!D30</f>
        <v>2.7401603874491667E-10</v>
      </c>
      <c r="L30" s="117">
        <f>'[1]BLOD reduced list'!$B30*'[1]BLOD reduced list'!E30</f>
        <v>7.7212239397542612E-13</v>
      </c>
      <c r="M30" s="117">
        <f>'[1]BLOD reduced list'!$B30*'[1]BLOD reduced list'!F30</f>
        <v>1.6162562029330165E-11</v>
      </c>
      <c r="N30" s="117">
        <f>'[1]BLOD reduced list'!$B30*'[1]BLOD reduced list'!G30</f>
        <v>1.0081598097502973E-11</v>
      </c>
      <c r="O30" s="117">
        <f>'[1]BLOD reduced list'!$B30/'[1]BLOD reduced list'!H30</f>
        <v>4.0006341656757835E-17</v>
      </c>
      <c r="P30" s="117">
        <f>'[1]BLOD reduced list'!$B30*'[1]BLOD reduced list'!I30</f>
        <v>7.7212239397542612E-13</v>
      </c>
    </row>
    <row r="31" spans="1:16" ht="16" x14ac:dyDescent="0.2">
      <c r="A31" s="48" t="s">
        <v>134</v>
      </c>
      <c r="B31" s="49">
        <v>2.8907465711287233E-13</v>
      </c>
      <c r="C31" s="116">
        <v>30</v>
      </c>
      <c r="D31" s="116">
        <v>31</v>
      </c>
      <c r="E31" s="116">
        <v>31</v>
      </c>
      <c r="F31" s="116">
        <v>25</v>
      </c>
      <c r="G31" s="116">
        <v>26</v>
      </c>
      <c r="H31" s="116">
        <v>29</v>
      </c>
      <c r="I31" s="118"/>
      <c r="J31" s="117">
        <f>'[1]BLOD reduced list'!$B31/'[1]BLOD reduced list'!C31</f>
        <v>5.2654764501433942E-9</v>
      </c>
      <c r="K31" s="117">
        <f>'[1]BLOD reduced list'!$B31/'[1]BLOD reduced list'!D31</f>
        <v>8.7333733266728806E-12</v>
      </c>
      <c r="L31" s="117">
        <f>'[1]BLOD reduced list'!$B31*'[1]BLOD reduced list'!E31</f>
        <v>1.3470879021459851E-12</v>
      </c>
      <c r="M31" s="117">
        <f>'[1]BLOD reduced list'!$B31*'[1]BLOD reduced list'!F31</f>
        <v>2.0003966272210765E-11</v>
      </c>
      <c r="N31" s="117">
        <f>'[1]BLOD reduced list'!$B31*'[1]BLOD reduced list'!G31</f>
        <v>8.4409799876958716E-12</v>
      </c>
      <c r="O31" s="117" t="e">
        <f>'[1]BLOD reduced list'!$B31/'[1]BLOD reduced list'!H31</f>
        <v>#DIV/0!</v>
      </c>
      <c r="P31" s="117">
        <f>'[1]BLOD reduced list'!$B31*'[1]BLOD reduced list'!I31</f>
        <v>1.3470879021459851E-12</v>
      </c>
    </row>
    <row r="32" spans="1:16" ht="16" x14ac:dyDescent="0.2">
      <c r="A32" s="48" t="s">
        <v>132</v>
      </c>
      <c r="B32" s="49">
        <v>1.8573127229488702E-13</v>
      </c>
      <c r="C32" s="116">
        <v>31</v>
      </c>
      <c r="D32" s="116">
        <v>25</v>
      </c>
      <c r="E32" s="116">
        <v>30</v>
      </c>
      <c r="F32" s="116">
        <v>28</v>
      </c>
      <c r="G32" s="116">
        <v>31</v>
      </c>
      <c r="H32" s="116">
        <v>31</v>
      </c>
      <c r="I32" s="116">
        <v>21</v>
      </c>
      <c r="J32" s="117">
        <f>'[1]BLOD reduced list'!$B32/'[1]BLOD reduced list'!C32</f>
        <v>9.2865636147443511E-8</v>
      </c>
      <c r="K32" s="117">
        <f>'[1]BLOD reduced list'!$B32/'[1]BLOD reduced list'!D32</f>
        <v>2.0636808032765225E-10</v>
      </c>
      <c r="L32" s="117">
        <f>'[1]BLOD reduced list'!$B32*'[1]BLOD reduced list'!E32</f>
        <v>2.0430439952437573E-16</v>
      </c>
      <c r="M32" s="117">
        <f>'[1]BLOD reduced list'!$B32*'[1]BLOD reduced list'!F32</f>
        <v>2.1656266349583826E-12</v>
      </c>
      <c r="N32" s="117">
        <f>'[1]BLOD reduced list'!$B32*'[1]BLOD reduced list'!G32</f>
        <v>1.3558382877526752E-12</v>
      </c>
      <c r="O32" s="117">
        <f>'[1]BLOD reduced list'!$B32/'[1]BLOD reduced list'!H32</f>
        <v>3.3113081172203067E-15</v>
      </c>
      <c r="P32" s="117">
        <f>'[1]BLOD reduced list'!$B32*'[1]BLOD reduced list'!I32</f>
        <v>2.0430439952437573E-16</v>
      </c>
    </row>
    <row r="42" spans="1:1" ht="16" x14ac:dyDescent="0.2">
      <c r="A42" s="48" t="s">
        <v>1246</v>
      </c>
    </row>
    <row r="43" spans="1:1" ht="16" x14ac:dyDescent="0.2">
      <c r="A43" s="48" t="s">
        <v>1247</v>
      </c>
    </row>
    <row r="44" spans="1:1" ht="16" x14ac:dyDescent="0.2">
      <c r="A44" s="48" t="s">
        <v>1248</v>
      </c>
    </row>
    <row r="45" spans="1:1" ht="16" x14ac:dyDescent="0.2">
      <c r="A45" s="48" t="s">
        <v>1249</v>
      </c>
    </row>
  </sheetData>
  <conditionalFormatting sqref="C1:C1048576">
    <cfRule type="colorScale" priority="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D2:D32">
    <cfRule type="colorScale" priority="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E2:E32">
    <cfRule type="colorScale" priority="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F2:F32">
    <cfRule type="colorScale" priority="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G2:G32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H2:I3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1426"/>
  <sheetViews>
    <sheetView tabSelected="1" zoomScale="70" zoomScaleNormal="70" workbookViewId="0">
      <pane ySplit="1" topLeftCell="A813" activePane="bottomLeft" state="frozen"/>
      <selection pane="bottomLeft" activeCell="D2" sqref="D2"/>
    </sheetView>
  </sheetViews>
  <sheetFormatPr baseColWidth="10" defaultColWidth="8.6640625" defaultRowHeight="15" x14ac:dyDescent="0.2"/>
  <cols>
    <col min="2" max="2" width="36.33203125" customWidth="1"/>
    <col min="3" max="3" width="16.83203125" customWidth="1"/>
    <col min="4" max="4" width="62.5" customWidth="1"/>
    <col min="5" max="5" width="26.83203125" customWidth="1"/>
    <col min="10" max="10" width="10" customWidth="1"/>
    <col min="11" max="11" width="15.1640625" customWidth="1"/>
    <col min="12" max="12" width="45.83203125" customWidth="1"/>
    <col min="28" max="28" width="15.5" bestFit="1" customWidth="1"/>
    <col min="29" max="29" width="20.33203125" bestFit="1" customWidth="1"/>
    <col min="30" max="30" width="22" bestFit="1" customWidth="1"/>
    <col min="31" max="31" width="6.6640625" bestFit="1" customWidth="1"/>
    <col min="32" max="32" width="8.6640625" style="125"/>
  </cols>
  <sheetData>
    <row r="1" spans="1:33" s="119" customFormat="1" ht="49" thickBot="1" x14ac:dyDescent="0.25">
      <c r="B1" s="23" t="s">
        <v>647</v>
      </c>
      <c r="C1" s="23" t="s">
        <v>648</v>
      </c>
      <c r="D1" s="23" t="s">
        <v>649</v>
      </c>
      <c r="E1" s="23" t="s">
        <v>1238</v>
      </c>
      <c r="F1" s="23" t="s">
        <v>650</v>
      </c>
      <c r="G1" s="23" t="s">
        <v>651</v>
      </c>
      <c r="H1" s="23" t="s">
        <v>652</v>
      </c>
      <c r="I1" s="23" t="s">
        <v>653</v>
      </c>
      <c r="J1" s="23" t="s">
        <v>654</v>
      </c>
      <c r="K1" s="23" t="s">
        <v>1239</v>
      </c>
      <c r="L1" s="23" t="s">
        <v>655</v>
      </c>
      <c r="M1" s="23" t="s">
        <v>656</v>
      </c>
      <c r="N1" s="23" t="s">
        <v>657</v>
      </c>
      <c r="O1" s="23" t="s">
        <v>658</v>
      </c>
      <c r="P1" s="23" t="s">
        <v>659</v>
      </c>
      <c r="Q1" s="24" t="s">
        <v>660</v>
      </c>
      <c r="R1" s="24" t="s">
        <v>661</v>
      </c>
      <c r="S1" s="24" t="s">
        <v>662</v>
      </c>
      <c r="T1" s="120" t="s">
        <v>1287</v>
      </c>
      <c r="U1" s="120" t="s">
        <v>1288</v>
      </c>
      <c r="V1" s="121" t="s">
        <v>1289</v>
      </c>
      <c r="W1" s="121" t="s">
        <v>1290</v>
      </c>
      <c r="X1" s="121" t="s">
        <v>1291</v>
      </c>
      <c r="Y1" s="121" t="s">
        <v>1292</v>
      </c>
      <c r="Z1" s="25" t="s">
        <v>1230</v>
      </c>
      <c r="AA1" s="93" t="s">
        <v>1293</v>
      </c>
      <c r="AB1" s="122" t="s">
        <v>1240</v>
      </c>
      <c r="AC1" s="122" t="s">
        <v>1241</v>
      </c>
      <c r="AD1" s="122" t="s">
        <v>1242</v>
      </c>
      <c r="AE1" s="122" t="s">
        <v>1243</v>
      </c>
      <c r="AF1" s="123" t="s">
        <v>1244</v>
      </c>
      <c r="AG1" s="124"/>
    </row>
    <row r="2" spans="1:33" x14ac:dyDescent="0.2">
      <c r="A2" s="60" t="s">
        <v>1294</v>
      </c>
      <c r="B2" t="s">
        <v>1295</v>
      </c>
      <c r="C2" t="s">
        <v>1296</v>
      </c>
      <c r="D2" t="s">
        <v>1297</v>
      </c>
      <c r="F2">
        <v>32</v>
      </c>
      <c r="J2">
        <v>1</v>
      </c>
      <c r="L2" t="s">
        <v>1298</v>
      </c>
      <c r="M2" t="s">
        <v>1299</v>
      </c>
      <c r="N2" t="s">
        <v>876</v>
      </c>
      <c r="O2" t="s">
        <v>1032</v>
      </c>
      <c r="P2" t="s">
        <v>1033</v>
      </c>
      <c r="T2">
        <v>10000</v>
      </c>
      <c r="U2">
        <v>10000</v>
      </c>
      <c r="V2">
        <v>10000</v>
      </c>
      <c r="W2">
        <v>10000</v>
      </c>
      <c r="X2">
        <v>0.1520858830660754</v>
      </c>
      <c r="Y2">
        <v>0.19056836903028959</v>
      </c>
    </row>
    <row r="3" spans="1:33" x14ac:dyDescent="0.2">
      <c r="A3" s="60" t="s">
        <v>1300</v>
      </c>
      <c r="B3" t="s">
        <v>1301</v>
      </c>
      <c r="C3" t="s">
        <v>1302</v>
      </c>
      <c r="D3" t="s">
        <v>1303</v>
      </c>
      <c r="F3">
        <v>34</v>
      </c>
      <c r="J3">
        <v>1</v>
      </c>
      <c r="L3" t="s">
        <v>876</v>
      </c>
      <c r="M3" t="s">
        <v>876</v>
      </c>
      <c r="N3" t="s">
        <v>876</v>
      </c>
      <c r="O3" t="s">
        <v>876</v>
      </c>
      <c r="P3" t="s">
        <v>876</v>
      </c>
      <c r="S3">
        <v>1</v>
      </c>
    </row>
    <row r="4" spans="1:33" x14ac:dyDescent="0.2">
      <c r="A4" s="60" t="s">
        <v>1304</v>
      </c>
      <c r="B4" t="s">
        <v>1305</v>
      </c>
      <c r="C4" t="s">
        <v>1306</v>
      </c>
      <c r="D4" t="s">
        <v>1307</v>
      </c>
      <c r="F4">
        <v>36</v>
      </c>
      <c r="J4">
        <v>1</v>
      </c>
      <c r="L4" t="s">
        <v>1308</v>
      </c>
      <c r="M4" t="s">
        <v>1309</v>
      </c>
      <c r="N4" t="s">
        <v>876</v>
      </c>
      <c r="O4" t="s">
        <v>1032</v>
      </c>
      <c r="P4" t="s">
        <v>1033</v>
      </c>
      <c r="Q4">
        <v>1</v>
      </c>
      <c r="S4">
        <v>1</v>
      </c>
      <c r="T4">
        <v>10000</v>
      </c>
      <c r="U4" t="s">
        <v>0</v>
      </c>
      <c r="V4">
        <v>10000</v>
      </c>
      <c r="W4" t="s">
        <v>0</v>
      </c>
      <c r="X4">
        <v>0.31249999192883299</v>
      </c>
      <c r="Y4">
        <v>0.38749982045497239</v>
      </c>
    </row>
    <row r="5" spans="1:33" x14ac:dyDescent="0.2">
      <c r="A5" s="60" t="s">
        <v>1310</v>
      </c>
      <c r="B5" t="s">
        <v>1311</v>
      </c>
      <c r="C5" t="s">
        <v>1312</v>
      </c>
      <c r="D5" t="s">
        <v>1297</v>
      </c>
      <c r="F5">
        <v>48</v>
      </c>
      <c r="J5">
        <v>1</v>
      </c>
      <c r="L5" t="s">
        <v>1313</v>
      </c>
      <c r="M5" t="s">
        <v>1314</v>
      </c>
      <c r="N5" t="s">
        <v>876</v>
      </c>
      <c r="O5" t="s">
        <v>1032</v>
      </c>
      <c r="P5" t="s">
        <v>1033</v>
      </c>
      <c r="T5">
        <v>10000</v>
      </c>
      <c r="U5">
        <v>5.17141743</v>
      </c>
      <c r="V5">
        <v>10000</v>
      </c>
      <c r="W5">
        <v>10000</v>
      </c>
      <c r="X5">
        <v>0.13537899829973762</v>
      </c>
      <c r="Y5">
        <v>0.18764049272944064</v>
      </c>
    </row>
    <row r="6" spans="1:33" x14ac:dyDescent="0.2">
      <c r="A6" s="60" t="s">
        <v>1315</v>
      </c>
      <c r="B6" t="s">
        <v>1316</v>
      </c>
      <c r="C6" t="s">
        <v>1317</v>
      </c>
      <c r="D6" t="s">
        <v>1318</v>
      </c>
      <c r="F6">
        <v>54</v>
      </c>
      <c r="J6">
        <v>1</v>
      </c>
      <c r="L6" t="s">
        <v>1319</v>
      </c>
      <c r="M6" t="s">
        <v>1320</v>
      </c>
      <c r="N6" t="s">
        <v>876</v>
      </c>
      <c r="O6" t="s">
        <v>1032</v>
      </c>
      <c r="P6" t="s">
        <v>1033</v>
      </c>
      <c r="T6">
        <v>10000</v>
      </c>
      <c r="U6">
        <v>10000</v>
      </c>
      <c r="V6">
        <v>10000</v>
      </c>
      <c r="W6">
        <v>10000</v>
      </c>
      <c r="X6">
        <v>0.10994763633525409</v>
      </c>
      <c r="Y6">
        <v>0.14136123829393415</v>
      </c>
    </row>
    <row r="7" spans="1:33" x14ac:dyDescent="0.2">
      <c r="A7" s="60" t="s">
        <v>1321</v>
      </c>
      <c r="B7" t="s">
        <v>1322</v>
      </c>
      <c r="C7" t="s">
        <v>1323</v>
      </c>
      <c r="D7" t="s">
        <v>782</v>
      </c>
      <c r="F7">
        <v>71</v>
      </c>
      <c r="J7">
        <v>1</v>
      </c>
      <c r="L7" t="s">
        <v>876</v>
      </c>
      <c r="M7" t="s">
        <v>876</v>
      </c>
      <c r="N7" t="s">
        <v>876</v>
      </c>
      <c r="O7" t="s">
        <v>876</v>
      </c>
      <c r="P7" t="s">
        <v>876</v>
      </c>
      <c r="S7">
        <v>1</v>
      </c>
    </row>
    <row r="8" spans="1:33" x14ac:dyDescent="0.2">
      <c r="A8" s="60" t="s">
        <v>1324</v>
      </c>
      <c r="B8" t="s">
        <v>1325</v>
      </c>
      <c r="C8" t="s">
        <v>1326</v>
      </c>
      <c r="D8" t="s">
        <v>1327</v>
      </c>
      <c r="F8">
        <v>84</v>
      </c>
      <c r="J8">
        <v>1</v>
      </c>
      <c r="L8" t="s">
        <v>876</v>
      </c>
      <c r="M8" t="s">
        <v>876</v>
      </c>
      <c r="N8" t="s">
        <v>876</v>
      </c>
      <c r="O8" t="s">
        <v>876</v>
      </c>
      <c r="P8" t="s">
        <v>876</v>
      </c>
    </row>
    <row r="9" spans="1:33" x14ac:dyDescent="0.2">
      <c r="A9" s="60" t="s">
        <v>1328</v>
      </c>
      <c r="B9" t="s">
        <v>1329</v>
      </c>
      <c r="C9" t="s">
        <v>1330</v>
      </c>
      <c r="D9" t="s">
        <v>1327</v>
      </c>
      <c r="F9">
        <v>85</v>
      </c>
      <c r="J9">
        <v>1</v>
      </c>
      <c r="L9" t="s">
        <v>876</v>
      </c>
      <c r="M9" t="s">
        <v>876</v>
      </c>
      <c r="N9" t="s">
        <v>876</v>
      </c>
      <c r="O9" t="s">
        <v>876</v>
      </c>
      <c r="P9" t="s">
        <v>876</v>
      </c>
    </row>
    <row r="10" spans="1:33" x14ac:dyDescent="0.2">
      <c r="A10" s="60" t="s">
        <v>1331</v>
      </c>
      <c r="B10" t="s">
        <v>1332</v>
      </c>
      <c r="C10" t="s">
        <v>1333</v>
      </c>
      <c r="D10" t="s">
        <v>1334</v>
      </c>
      <c r="F10">
        <v>89</v>
      </c>
      <c r="J10">
        <v>1</v>
      </c>
      <c r="L10" t="s">
        <v>876</v>
      </c>
      <c r="M10" t="s">
        <v>876</v>
      </c>
      <c r="N10" t="s">
        <v>876</v>
      </c>
      <c r="O10" t="s">
        <v>876</v>
      </c>
      <c r="P10" t="s">
        <v>876</v>
      </c>
    </row>
    <row r="11" spans="1:33" x14ac:dyDescent="0.2">
      <c r="A11" s="60" t="s">
        <v>1335</v>
      </c>
      <c r="B11" t="s">
        <v>1336</v>
      </c>
      <c r="C11" t="s">
        <v>1337</v>
      </c>
      <c r="D11" t="s">
        <v>869</v>
      </c>
      <c r="F11">
        <v>90</v>
      </c>
      <c r="J11">
        <v>1</v>
      </c>
      <c r="L11" t="s">
        <v>876</v>
      </c>
      <c r="M11" t="s">
        <v>876</v>
      </c>
      <c r="N11" t="s">
        <v>876</v>
      </c>
      <c r="O11" t="s">
        <v>876</v>
      </c>
      <c r="P11" t="s">
        <v>876</v>
      </c>
    </row>
    <row r="12" spans="1:33" x14ac:dyDescent="0.2">
      <c r="A12" s="60" t="s">
        <v>1338</v>
      </c>
      <c r="B12" t="s">
        <v>1339</v>
      </c>
      <c r="C12" t="s">
        <v>1340</v>
      </c>
      <c r="D12" t="s">
        <v>782</v>
      </c>
      <c r="F12">
        <v>92</v>
      </c>
      <c r="J12">
        <v>1</v>
      </c>
      <c r="L12" t="s">
        <v>1341</v>
      </c>
      <c r="M12" t="s">
        <v>798</v>
      </c>
      <c r="N12" t="s">
        <v>876</v>
      </c>
      <c r="O12" t="s">
        <v>671</v>
      </c>
      <c r="P12" t="s">
        <v>1342</v>
      </c>
      <c r="Q12">
        <v>1</v>
      </c>
      <c r="S12">
        <v>1</v>
      </c>
    </row>
    <row r="13" spans="1:33" x14ac:dyDescent="0.2">
      <c r="A13" s="60" t="s">
        <v>1343</v>
      </c>
      <c r="B13" t="s">
        <v>1344</v>
      </c>
      <c r="C13" t="s">
        <v>1345</v>
      </c>
      <c r="D13" t="s">
        <v>1318</v>
      </c>
      <c r="F13">
        <v>101</v>
      </c>
      <c r="J13">
        <v>1</v>
      </c>
      <c r="L13" t="s">
        <v>1346</v>
      </c>
      <c r="M13" t="s">
        <v>1347</v>
      </c>
      <c r="N13" t="s">
        <v>876</v>
      </c>
      <c r="O13" t="s">
        <v>1032</v>
      </c>
      <c r="P13" t="s">
        <v>1033</v>
      </c>
      <c r="T13">
        <v>6.2731110809999997</v>
      </c>
      <c r="U13">
        <v>6.2300868830000002</v>
      </c>
      <c r="V13">
        <v>8.113507684699135</v>
      </c>
      <c r="W13">
        <v>7.0122336191903054</v>
      </c>
      <c r="X13">
        <v>0.84798836024153756</v>
      </c>
      <c r="Y13">
        <v>0.85580915194419349</v>
      </c>
    </row>
    <row r="14" spans="1:33" x14ac:dyDescent="0.2">
      <c r="A14" s="60" t="s">
        <v>1348</v>
      </c>
      <c r="B14" t="s">
        <v>1349</v>
      </c>
      <c r="C14" t="s">
        <v>1350</v>
      </c>
      <c r="D14" t="s">
        <v>1351</v>
      </c>
      <c r="F14">
        <v>102</v>
      </c>
      <c r="J14">
        <v>1</v>
      </c>
      <c r="L14" t="s">
        <v>876</v>
      </c>
      <c r="M14" t="s">
        <v>876</v>
      </c>
      <c r="N14" t="s">
        <v>876</v>
      </c>
      <c r="O14" t="s">
        <v>876</v>
      </c>
      <c r="P14" t="s">
        <v>876</v>
      </c>
      <c r="Q14">
        <v>1</v>
      </c>
    </row>
    <row r="15" spans="1:33" x14ac:dyDescent="0.2">
      <c r="A15" s="60" t="s">
        <v>1352</v>
      </c>
      <c r="B15" t="s">
        <v>1353</v>
      </c>
      <c r="C15" t="s">
        <v>1354</v>
      </c>
      <c r="D15" t="s">
        <v>1318</v>
      </c>
      <c r="F15">
        <v>104</v>
      </c>
      <c r="J15">
        <v>1</v>
      </c>
      <c r="L15" t="s">
        <v>1355</v>
      </c>
      <c r="M15" t="s">
        <v>1356</v>
      </c>
      <c r="N15" t="s">
        <v>876</v>
      </c>
      <c r="O15" t="s">
        <v>1032</v>
      </c>
      <c r="P15" t="s">
        <v>1033</v>
      </c>
      <c r="T15">
        <v>5.3523425040000001</v>
      </c>
      <c r="U15">
        <v>4.3086656850000002</v>
      </c>
      <c r="V15">
        <v>17.251533764956744</v>
      </c>
      <c r="W15">
        <v>15.51865828750536</v>
      </c>
      <c r="X15">
        <v>0.7381403291656935</v>
      </c>
      <c r="Y15">
        <v>0.76969131547150849</v>
      </c>
    </row>
    <row r="16" spans="1:33" x14ac:dyDescent="0.2">
      <c r="A16" s="60" t="s">
        <v>1357</v>
      </c>
      <c r="B16" t="s">
        <v>1358</v>
      </c>
      <c r="C16" t="s">
        <v>1359</v>
      </c>
      <c r="D16" t="s">
        <v>1318</v>
      </c>
      <c r="F16">
        <v>109</v>
      </c>
      <c r="J16">
        <v>1</v>
      </c>
      <c r="L16" t="s">
        <v>1360</v>
      </c>
      <c r="M16" t="s">
        <v>1361</v>
      </c>
      <c r="N16" t="s">
        <v>876</v>
      </c>
      <c r="O16" t="s">
        <v>1032</v>
      </c>
      <c r="P16" t="s">
        <v>1033</v>
      </c>
      <c r="Q16">
        <v>1</v>
      </c>
      <c r="S16">
        <v>1</v>
      </c>
      <c r="T16" t="s">
        <v>0</v>
      </c>
      <c r="U16" t="s">
        <v>0</v>
      </c>
      <c r="V16" t="s">
        <v>0</v>
      </c>
      <c r="W16" t="s">
        <v>0</v>
      </c>
      <c r="X16">
        <v>8.1249586898046261E-2</v>
      </c>
      <c r="Y16">
        <v>0.11874927392699741</v>
      </c>
    </row>
    <row r="17" spans="1:25" x14ac:dyDescent="0.2">
      <c r="A17" s="60" t="s">
        <v>1362</v>
      </c>
      <c r="B17" t="s">
        <v>1363</v>
      </c>
      <c r="C17" t="s">
        <v>1364</v>
      </c>
      <c r="D17" t="s">
        <v>1365</v>
      </c>
      <c r="F17">
        <v>111</v>
      </c>
      <c r="J17">
        <v>1</v>
      </c>
      <c r="L17" t="s">
        <v>1366</v>
      </c>
      <c r="M17" t="s">
        <v>1367</v>
      </c>
      <c r="N17" t="s">
        <v>876</v>
      </c>
      <c r="O17" t="s">
        <v>1032</v>
      </c>
      <c r="P17" t="s">
        <v>1033</v>
      </c>
      <c r="T17">
        <v>84.192839789999994</v>
      </c>
      <c r="U17" t="s">
        <v>0</v>
      </c>
      <c r="V17">
        <v>121.22296171633938</v>
      </c>
      <c r="W17" t="s">
        <v>0</v>
      </c>
      <c r="X17">
        <v>7.7332005613065358E-2</v>
      </c>
      <c r="Y17">
        <v>0.16145832477436026</v>
      </c>
    </row>
    <row r="18" spans="1:25" x14ac:dyDescent="0.2">
      <c r="A18" s="60" t="s">
        <v>1368</v>
      </c>
      <c r="B18" t="s">
        <v>1369</v>
      </c>
      <c r="C18" t="s">
        <v>1370</v>
      </c>
      <c r="D18" t="s">
        <v>1371</v>
      </c>
      <c r="F18">
        <v>114</v>
      </c>
      <c r="J18">
        <v>1</v>
      </c>
      <c r="L18" t="s">
        <v>876</v>
      </c>
      <c r="M18" t="s">
        <v>876</v>
      </c>
      <c r="N18" t="s">
        <v>876</v>
      </c>
      <c r="O18" t="s">
        <v>876</v>
      </c>
      <c r="P18" t="s">
        <v>876</v>
      </c>
    </row>
    <row r="19" spans="1:25" x14ac:dyDescent="0.2">
      <c r="A19" s="60" t="s">
        <v>1372</v>
      </c>
      <c r="B19" t="s">
        <v>1373</v>
      </c>
      <c r="C19" t="s">
        <v>1374</v>
      </c>
      <c r="D19" t="s">
        <v>1375</v>
      </c>
      <c r="F19">
        <v>115</v>
      </c>
      <c r="J19">
        <v>1</v>
      </c>
      <c r="L19" t="s">
        <v>876</v>
      </c>
      <c r="M19" t="s">
        <v>876</v>
      </c>
      <c r="N19" t="s">
        <v>876</v>
      </c>
      <c r="O19" t="s">
        <v>876</v>
      </c>
      <c r="P19" t="s">
        <v>876</v>
      </c>
    </row>
    <row r="20" spans="1:25" x14ac:dyDescent="0.2">
      <c r="A20" s="60" t="s">
        <v>1376</v>
      </c>
      <c r="B20" t="s">
        <v>1377</v>
      </c>
      <c r="C20" t="s">
        <v>1378</v>
      </c>
      <c r="D20" t="s">
        <v>1297</v>
      </c>
      <c r="F20">
        <v>116</v>
      </c>
      <c r="J20">
        <v>1</v>
      </c>
      <c r="L20" t="s">
        <v>1379</v>
      </c>
      <c r="M20" t="s">
        <v>1380</v>
      </c>
      <c r="N20" t="s">
        <v>876</v>
      </c>
      <c r="O20" t="s">
        <v>1032</v>
      </c>
      <c r="P20" t="s">
        <v>1033</v>
      </c>
      <c r="T20">
        <v>408.33110859999999</v>
      </c>
      <c r="U20">
        <v>94.166112670000004</v>
      </c>
      <c r="V20">
        <v>10000</v>
      </c>
      <c r="W20">
        <v>10000</v>
      </c>
      <c r="X20">
        <v>0.28242095505683962</v>
      </c>
      <c r="Y20">
        <v>0.3097254346827919</v>
      </c>
    </row>
    <row r="21" spans="1:25" x14ac:dyDescent="0.2">
      <c r="A21" s="60" t="s">
        <v>1381</v>
      </c>
      <c r="B21" t="s">
        <v>1382</v>
      </c>
      <c r="C21" t="s">
        <v>1383</v>
      </c>
      <c r="D21" t="s">
        <v>1384</v>
      </c>
      <c r="F21">
        <v>118</v>
      </c>
      <c r="J21">
        <v>1</v>
      </c>
      <c r="L21" t="s">
        <v>876</v>
      </c>
      <c r="M21" t="s">
        <v>876</v>
      </c>
      <c r="N21" t="s">
        <v>876</v>
      </c>
      <c r="O21" t="s">
        <v>876</v>
      </c>
      <c r="P21" t="s">
        <v>876</v>
      </c>
    </row>
    <row r="22" spans="1:25" x14ac:dyDescent="0.2">
      <c r="A22" s="60" t="s">
        <v>1385</v>
      </c>
      <c r="B22" t="s">
        <v>1386</v>
      </c>
      <c r="C22" t="s">
        <v>1387</v>
      </c>
      <c r="D22" t="s">
        <v>1388</v>
      </c>
      <c r="F22">
        <v>134</v>
      </c>
      <c r="J22">
        <v>1</v>
      </c>
      <c r="L22" t="s">
        <v>1389</v>
      </c>
      <c r="M22" t="s">
        <v>1390</v>
      </c>
      <c r="N22" t="s">
        <v>876</v>
      </c>
      <c r="O22" t="s">
        <v>1032</v>
      </c>
      <c r="P22" t="s">
        <v>1033</v>
      </c>
      <c r="T22">
        <v>10000</v>
      </c>
      <c r="U22">
        <v>10000</v>
      </c>
      <c r="V22">
        <v>10000</v>
      </c>
      <c r="W22">
        <v>10000</v>
      </c>
      <c r="X22">
        <v>8.333332616121103E-2</v>
      </c>
      <c r="Y22">
        <v>0.12499999684214297</v>
      </c>
    </row>
    <row r="23" spans="1:25" x14ac:dyDescent="0.2">
      <c r="A23" s="60" t="s">
        <v>1391</v>
      </c>
      <c r="B23" t="s">
        <v>1392</v>
      </c>
      <c r="C23" t="s">
        <v>1393</v>
      </c>
      <c r="D23" t="s">
        <v>1394</v>
      </c>
      <c r="F23">
        <v>148</v>
      </c>
      <c r="J23">
        <v>1</v>
      </c>
      <c r="L23" t="s">
        <v>1395</v>
      </c>
      <c r="M23" t="s">
        <v>1396</v>
      </c>
      <c r="N23" t="s">
        <v>876</v>
      </c>
      <c r="O23" t="s">
        <v>1032</v>
      </c>
      <c r="P23" t="s">
        <v>1033</v>
      </c>
      <c r="T23">
        <v>10000</v>
      </c>
      <c r="U23">
        <v>37.465201460000003</v>
      </c>
      <c r="V23">
        <v>10000</v>
      </c>
      <c r="W23">
        <v>10000</v>
      </c>
      <c r="X23">
        <v>9.3428001010036288E-2</v>
      </c>
      <c r="Y23">
        <v>0.12603580271931378</v>
      </c>
    </row>
    <row r="24" spans="1:25" x14ac:dyDescent="0.2">
      <c r="A24" s="60" t="s">
        <v>1397</v>
      </c>
      <c r="B24" t="s">
        <v>1398</v>
      </c>
      <c r="C24" t="s">
        <v>1399</v>
      </c>
      <c r="D24" t="s">
        <v>664</v>
      </c>
      <c r="F24">
        <v>150</v>
      </c>
      <c r="J24">
        <v>1</v>
      </c>
      <c r="L24" t="s">
        <v>1400</v>
      </c>
      <c r="M24" t="s">
        <v>1401</v>
      </c>
      <c r="N24" t="s">
        <v>876</v>
      </c>
      <c r="O24" t="s">
        <v>1032</v>
      </c>
      <c r="P24" t="s">
        <v>1033</v>
      </c>
      <c r="S24">
        <v>1</v>
      </c>
    </row>
    <row r="25" spans="1:25" x14ac:dyDescent="0.2">
      <c r="A25" s="60" t="s">
        <v>1402</v>
      </c>
      <c r="B25" t="s">
        <v>1403</v>
      </c>
      <c r="C25" t="s">
        <v>1404</v>
      </c>
      <c r="D25" t="s">
        <v>1351</v>
      </c>
      <c r="F25">
        <v>151</v>
      </c>
      <c r="J25">
        <v>1</v>
      </c>
      <c r="L25" t="s">
        <v>876</v>
      </c>
      <c r="M25" t="s">
        <v>876</v>
      </c>
      <c r="N25" t="s">
        <v>876</v>
      </c>
      <c r="O25" t="s">
        <v>876</v>
      </c>
      <c r="P25" t="s">
        <v>876</v>
      </c>
    </row>
    <row r="26" spans="1:25" x14ac:dyDescent="0.2">
      <c r="A26" s="60" t="s">
        <v>1405</v>
      </c>
      <c r="B26" t="s">
        <v>1406</v>
      </c>
      <c r="C26" t="s">
        <v>1407</v>
      </c>
      <c r="D26" t="s">
        <v>1408</v>
      </c>
      <c r="F26">
        <v>152</v>
      </c>
      <c r="J26">
        <v>1</v>
      </c>
      <c r="L26" t="s">
        <v>876</v>
      </c>
      <c r="M26" t="s">
        <v>876</v>
      </c>
      <c r="N26" t="s">
        <v>876</v>
      </c>
      <c r="O26" t="s">
        <v>876</v>
      </c>
      <c r="P26" t="s">
        <v>876</v>
      </c>
    </row>
    <row r="27" spans="1:25" x14ac:dyDescent="0.2">
      <c r="A27" s="60" t="s">
        <v>1409</v>
      </c>
      <c r="B27" t="s">
        <v>1410</v>
      </c>
      <c r="C27" t="s">
        <v>1411</v>
      </c>
      <c r="D27" t="s">
        <v>1394</v>
      </c>
      <c r="F27">
        <v>160</v>
      </c>
      <c r="J27">
        <v>1</v>
      </c>
      <c r="L27" t="s">
        <v>1412</v>
      </c>
      <c r="M27" t="s">
        <v>1413</v>
      </c>
      <c r="N27" t="s">
        <v>876</v>
      </c>
      <c r="O27" t="s">
        <v>1032</v>
      </c>
      <c r="P27" t="s">
        <v>1033</v>
      </c>
      <c r="S27">
        <v>1</v>
      </c>
      <c r="T27" t="s">
        <v>0</v>
      </c>
      <c r="U27">
        <v>13.29484817</v>
      </c>
      <c r="V27" t="s">
        <v>0</v>
      </c>
      <c r="W27">
        <v>106.8072670803644</v>
      </c>
      <c r="X27">
        <v>0.16703676951778146</v>
      </c>
      <c r="Y27">
        <v>0.36422995918881018</v>
      </c>
    </row>
    <row r="28" spans="1:25" x14ac:dyDescent="0.2">
      <c r="A28" s="60" t="s">
        <v>1414</v>
      </c>
      <c r="B28" t="s">
        <v>1415</v>
      </c>
      <c r="C28" t="s">
        <v>1416</v>
      </c>
      <c r="D28" t="s">
        <v>782</v>
      </c>
      <c r="F28">
        <v>165</v>
      </c>
      <c r="J28">
        <v>1</v>
      </c>
      <c r="L28" t="s">
        <v>876</v>
      </c>
      <c r="M28" t="s">
        <v>876</v>
      </c>
      <c r="N28" t="s">
        <v>876</v>
      </c>
      <c r="O28" t="s">
        <v>876</v>
      </c>
      <c r="P28" t="s">
        <v>876</v>
      </c>
    </row>
    <row r="29" spans="1:25" x14ac:dyDescent="0.2">
      <c r="A29" s="60" t="s">
        <v>1417</v>
      </c>
      <c r="B29" t="s">
        <v>1418</v>
      </c>
      <c r="C29" t="s">
        <v>1419</v>
      </c>
      <c r="D29" t="s">
        <v>782</v>
      </c>
      <c r="F29">
        <v>167</v>
      </c>
      <c r="J29">
        <v>1</v>
      </c>
      <c r="L29" t="s">
        <v>876</v>
      </c>
      <c r="M29" t="s">
        <v>876</v>
      </c>
      <c r="N29" t="s">
        <v>876</v>
      </c>
      <c r="O29" t="s">
        <v>876</v>
      </c>
      <c r="P29" t="s">
        <v>876</v>
      </c>
    </row>
    <row r="30" spans="1:25" x14ac:dyDescent="0.2">
      <c r="A30" s="60" t="s">
        <v>1420</v>
      </c>
      <c r="B30" t="s">
        <v>1421</v>
      </c>
      <c r="C30" t="s">
        <v>1422</v>
      </c>
      <c r="D30" t="s">
        <v>1351</v>
      </c>
      <c r="F30">
        <v>168</v>
      </c>
      <c r="J30">
        <v>1</v>
      </c>
      <c r="L30" t="s">
        <v>876</v>
      </c>
      <c r="M30" t="s">
        <v>876</v>
      </c>
      <c r="N30" t="s">
        <v>876</v>
      </c>
      <c r="O30" t="s">
        <v>876</v>
      </c>
      <c r="P30" t="s">
        <v>876</v>
      </c>
    </row>
    <row r="31" spans="1:25" x14ac:dyDescent="0.2">
      <c r="A31" s="60" t="s">
        <v>1423</v>
      </c>
      <c r="B31" t="s">
        <v>1424</v>
      </c>
      <c r="C31" t="s">
        <v>1425</v>
      </c>
      <c r="D31" t="s">
        <v>1297</v>
      </c>
      <c r="F31">
        <v>170</v>
      </c>
      <c r="J31">
        <v>1</v>
      </c>
      <c r="L31" t="s">
        <v>1426</v>
      </c>
      <c r="M31" t="s">
        <v>1427</v>
      </c>
      <c r="N31" t="s">
        <v>876</v>
      </c>
      <c r="O31" t="s">
        <v>1032</v>
      </c>
      <c r="P31" t="s">
        <v>1033</v>
      </c>
      <c r="T31">
        <v>10000</v>
      </c>
      <c r="U31">
        <v>10000</v>
      </c>
      <c r="V31">
        <v>10000</v>
      </c>
      <c r="W31">
        <v>10000</v>
      </c>
      <c r="X31">
        <v>0.15772911690865854</v>
      </c>
      <c r="Y31">
        <v>0.17083641273051497</v>
      </c>
    </row>
    <row r="32" spans="1:25" x14ac:dyDescent="0.2">
      <c r="A32" s="60" t="s">
        <v>1428</v>
      </c>
      <c r="B32" t="s">
        <v>1429</v>
      </c>
      <c r="C32" t="s">
        <v>1430</v>
      </c>
      <c r="D32" t="s">
        <v>1297</v>
      </c>
      <c r="F32">
        <v>171</v>
      </c>
      <c r="J32">
        <v>1</v>
      </c>
      <c r="L32" t="s">
        <v>1431</v>
      </c>
      <c r="M32" t="s">
        <v>1432</v>
      </c>
      <c r="N32" t="s">
        <v>876</v>
      </c>
      <c r="O32" t="s">
        <v>1032</v>
      </c>
      <c r="P32" t="s">
        <v>1033</v>
      </c>
      <c r="R32">
        <v>1</v>
      </c>
      <c r="T32">
        <v>10000</v>
      </c>
      <c r="U32">
        <v>10000</v>
      </c>
      <c r="V32">
        <v>10000</v>
      </c>
      <c r="W32">
        <v>10000</v>
      </c>
      <c r="X32">
        <v>6.2499994274401803E-2</v>
      </c>
      <c r="Y32">
        <v>8.3333325277175546E-2</v>
      </c>
    </row>
    <row r="33" spans="1:25" x14ac:dyDescent="0.2">
      <c r="A33" s="60" t="s">
        <v>1433</v>
      </c>
      <c r="B33" t="s">
        <v>1434</v>
      </c>
      <c r="C33" t="s">
        <v>1435</v>
      </c>
      <c r="D33" t="s">
        <v>1297</v>
      </c>
      <c r="F33">
        <v>172</v>
      </c>
      <c r="J33">
        <v>1</v>
      </c>
      <c r="L33" t="s">
        <v>1436</v>
      </c>
      <c r="M33" t="s">
        <v>1437</v>
      </c>
      <c r="N33" t="s">
        <v>876</v>
      </c>
      <c r="O33" t="s">
        <v>667</v>
      </c>
      <c r="P33" t="s">
        <v>1438</v>
      </c>
      <c r="Q33">
        <v>1</v>
      </c>
      <c r="R33">
        <v>1</v>
      </c>
      <c r="T33">
        <v>10000</v>
      </c>
      <c r="U33">
        <v>73.396165240000002</v>
      </c>
      <c r="V33">
        <v>10000</v>
      </c>
      <c r="W33">
        <v>81.810254866340287</v>
      </c>
      <c r="X33">
        <v>5.7591621026609217E-2</v>
      </c>
      <c r="Y33">
        <v>9.3978836339283806E-2</v>
      </c>
    </row>
    <row r="34" spans="1:25" x14ac:dyDescent="0.2">
      <c r="A34" s="60" t="s">
        <v>1439</v>
      </c>
      <c r="B34" t="s">
        <v>1440</v>
      </c>
      <c r="C34" t="s">
        <v>1441</v>
      </c>
      <c r="D34" t="s">
        <v>1394</v>
      </c>
      <c r="F34">
        <v>175</v>
      </c>
      <c r="J34">
        <v>1</v>
      </c>
      <c r="L34" t="s">
        <v>1442</v>
      </c>
      <c r="M34" t="s">
        <v>1443</v>
      </c>
      <c r="N34" t="s">
        <v>876</v>
      </c>
      <c r="O34" t="s">
        <v>1032</v>
      </c>
      <c r="P34" t="s">
        <v>1033</v>
      </c>
      <c r="Q34">
        <v>1</v>
      </c>
      <c r="T34">
        <v>10000</v>
      </c>
      <c r="U34">
        <v>10000</v>
      </c>
      <c r="V34">
        <v>10000</v>
      </c>
      <c r="W34">
        <v>10000</v>
      </c>
      <c r="X34">
        <v>9.8958327164337737E-2</v>
      </c>
      <c r="Y34">
        <v>0.13541665938202638</v>
      </c>
    </row>
    <row r="35" spans="1:25" x14ac:dyDescent="0.2">
      <c r="A35" s="60" t="s">
        <v>1444</v>
      </c>
      <c r="B35" t="s">
        <v>1445</v>
      </c>
      <c r="C35" t="s">
        <v>1446</v>
      </c>
      <c r="D35" t="s">
        <v>1318</v>
      </c>
      <c r="F35">
        <v>176</v>
      </c>
      <c r="J35">
        <v>1</v>
      </c>
      <c r="L35" t="s">
        <v>1447</v>
      </c>
      <c r="M35" t="s">
        <v>1448</v>
      </c>
      <c r="N35" t="s">
        <v>876</v>
      </c>
      <c r="O35" t="s">
        <v>1032</v>
      </c>
      <c r="P35" t="s">
        <v>1033</v>
      </c>
      <c r="T35">
        <v>1.3566317050000001</v>
      </c>
      <c r="U35">
        <v>0.42161312000000001</v>
      </c>
      <c r="V35">
        <v>6.063814489934833</v>
      </c>
      <c r="W35">
        <v>1.2406614629978465</v>
      </c>
      <c r="X35">
        <v>0.91251520398687347</v>
      </c>
      <c r="Y35">
        <v>0.9796831492462359</v>
      </c>
    </row>
    <row r="36" spans="1:25" x14ac:dyDescent="0.2">
      <c r="A36" s="60" t="s">
        <v>1449</v>
      </c>
      <c r="B36" t="s">
        <v>1450</v>
      </c>
      <c r="C36" t="s">
        <v>1451</v>
      </c>
      <c r="D36" t="s">
        <v>782</v>
      </c>
      <c r="F36">
        <v>178</v>
      </c>
      <c r="J36">
        <v>1</v>
      </c>
      <c r="L36" t="s">
        <v>876</v>
      </c>
      <c r="M36" t="s">
        <v>876</v>
      </c>
      <c r="N36" t="s">
        <v>876</v>
      </c>
      <c r="O36" t="s">
        <v>876</v>
      </c>
      <c r="P36" t="s">
        <v>876</v>
      </c>
      <c r="S36">
        <v>1</v>
      </c>
    </row>
    <row r="37" spans="1:25" x14ac:dyDescent="0.2">
      <c r="A37" s="60" t="s">
        <v>1452</v>
      </c>
      <c r="B37" t="s">
        <v>1453</v>
      </c>
      <c r="C37" t="s">
        <v>1454</v>
      </c>
      <c r="D37" t="s">
        <v>1318</v>
      </c>
      <c r="F37">
        <v>184</v>
      </c>
      <c r="J37">
        <v>1</v>
      </c>
      <c r="L37" t="s">
        <v>1455</v>
      </c>
      <c r="M37" t="s">
        <v>1456</v>
      </c>
      <c r="N37" t="s">
        <v>876</v>
      </c>
      <c r="O37" t="s">
        <v>1032</v>
      </c>
      <c r="P37" t="s">
        <v>1033</v>
      </c>
      <c r="T37">
        <v>61.102845709999997</v>
      </c>
      <c r="U37">
        <v>17.552516879999999</v>
      </c>
      <c r="V37">
        <v>10000</v>
      </c>
      <c r="W37">
        <v>10000</v>
      </c>
      <c r="X37">
        <v>0.1533416429546649</v>
      </c>
      <c r="Y37">
        <v>0.26519720714481021</v>
      </c>
    </row>
    <row r="38" spans="1:25" x14ac:dyDescent="0.2">
      <c r="A38" s="60" t="s">
        <v>1457</v>
      </c>
      <c r="B38" t="s">
        <v>1458</v>
      </c>
      <c r="C38" t="s">
        <v>1459</v>
      </c>
      <c r="D38" t="s">
        <v>1307</v>
      </c>
      <c r="F38">
        <v>185</v>
      </c>
      <c r="J38">
        <v>1</v>
      </c>
      <c r="L38" t="s">
        <v>1460</v>
      </c>
      <c r="M38" t="s">
        <v>1461</v>
      </c>
      <c r="N38" t="s">
        <v>876</v>
      </c>
      <c r="O38" t="s">
        <v>1032</v>
      </c>
      <c r="P38" t="s">
        <v>1033</v>
      </c>
      <c r="Q38">
        <v>1</v>
      </c>
      <c r="S38">
        <v>1</v>
      </c>
      <c r="T38">
        <v>10000</v>
      </c>
      <c r="U38">
        <v>10000</v>
      </c>
      <c r="V38">
        <v>10000</v>
      </c>
      <c r="W38">
        <v>10000</v>
      </c>
      <c r="X38">
        <v>0.11250813101087746</v>
      </c>
      <c r="Y38">
        <v>0.14234737477545745</v>
      </c>
    </row>
    <row r="39" spans="1:25" x14ac:dyDescent="0.2">
      <c r="A39" s="60" t="s">
        <v>1462</v>
      </c>
      <c r="B39" t="s">
        <v>1463</v>
      </c>
      <c r="C39" t="s">
        <v>1464</v>
      </c>
      <c r="D39" t="s">
        <v>1465</v>
      </c>
      <c r="F39">
        <v>186</v>
      </c>
      <c r="J39">
        <v>1</v>
      </c>
      <c r="L39" t="s">
        <v>876</v>
      </c>
      <c r="M39" t="s">
        <v>876</v>
      </c>
      <c r="N39" t="s">
        <v>876</v>
      </c>
      <c r="O39" t="s">
        <v>876</v>
      </c>
      <c r="P39" t="s">
        <v>876</v>
      </c>
    </row>
    <row r="40" spans="1:25" x14ac:dyDescent="0.2">
      <c r="A40" s="60" t="s">
        <v>1466</v>
      </c>
      <c r="B40" t="s">
        <v>1467</v>
      </c>
      <c r="C40" t="s">
        <v>1468</v>
      </c>
      <c r="D40" t="s">
        <v>1394</v>
      </c>
      <c r="F40">
        <v>189</v>
      </c>
      <c r="J40">
        <v>1</v>
      </c>
      <c r="L40" t="s">
        <v>1469</v>
      </c>
      <c r="M40" t="s">
        <v>1470</v>
      </c>
      <c r="N40" t="s">
        <v>876</v>
      </c>
      <c r="O40" t="s">
        <v>1032</v>
      </c>
      <c r="P40" t="s">
        <v>1033</v>
      </c>
      <c r="S40">
        <v>1</v>
      </c>
      <c r="T40">
        <v>23.67875866</v>
      </c>
      <c r="U40">
        <v>358.24209230000002</v>
      </c>
      <c r="V40">
        <v>10000</v>
      </c>
      <c r="W40">
        <v>10000</v>
      </c>
      <c r="X40">
        <v>0.12750122164204633</v>
      </c>
      <c r="Y40">
        <v>0.14294256121401963</v>
      </c>
    </row>
    <row r="41" spans="1:25" x14ac:dyDescent="0.2">
      <c r="A41" s="60" t="s">
        <v>1471</v>
      </c>
      <c r="B41" t="s">
        <v>1472</v>
      </c>
      <c r="C41" t="s">
        <v>1473</v>
      </c>
      <c r="D41" t="s">
        <v>1351</v>
      </c>
      <c r="F41">
        <v>190</v>
      </c>
      <c r="J41">
        <v>1</v>
      </c>
      <c r="L41" t="s">
        <v>1474</v>
      </c>
      <c r="M41" t="s">
        <v>1475</v>
      </c>
      <c r="N41" t="s">
        <v>876</v>
      </c>
      <c r="O41" t="s">
        <v>1032</v>
      </c>
      <c r="P41" t="s">
        <v>1033</v>
      </c>
      <c r="Q41">
        <v>1</v>
      </c>
      <c r="S41">
        <v>1</v>
      </c>
    </row>
    <row r="42" spans="1:25" x14ac:dyDescent="0.2">
      <c r="A42" s="60" t="s">
        <v>1476</v>
      </c>
      <c r="B42" t="s">
        <v>1477</v>
      </c>
      <c r="C42" t="s">
        <v>1478</v>
      </c>
      <c r="D42" t="s">
        <v>1318</v>
      </c>
      <c r="F42">
        <v>192</v>
      </c>
      <c r="J42">
        <v>1</v>
      </c>
      <c r="L42" t="s">
        <v>1479</v>
      </c>
      <c r="M42" t="s">
        <v>1480</v>
      </c>
      <c r="N42" t="s">
        <v>876</v>
      </c>
      <c r="O42" t="s">
        <v>1032</v>
      </c>
      <c r="P42" t="s">
        <v>1033</v>
      </c>
      <c r="T42">
        <v>64.569116699999995</v>
      </c>
      <c r="U42">
        <v>60.046175099999999</v>
      </c>
      <c r="V42">
        <v>72.342459488730043</v>
      </c>
      <c r="W42">
        <v>67.444634128550476</v>
      </c>
      <c r="X42">
        <v>0.11833144619384101</v>
      </c>
      <c r="Y42">
        <v>0.15686081300235588</v>
      </c>
    </row>
    <row r="43" spans="1:25" x14ac:dyDescent="0.2">
      <c r="A43" s="60" t="s">
        <v>1481</v>
      </c>
      <c r="B43" t="s">
        <v>1482</v>
      </c>
      <c r="C43" t="s">
        <v>1483</v>
      </c>
      <c r="D43" t="s">
        <v>1394</v>
      </c>
      <c r="F43">
        <v>194</v>
      </c>
      <c r="J43">
        <v>1</v>
      </c>
      <c r="L43" t="s">
        <v>1484</v>
      </c>
      <c r="M43" t="s">
        <v>1485</v>
      </c>
      <c r="N43" t="s">
        <v>876</v>
      </c>
      <c r="O43" t="s">
        <v>1032</v>
      </c>
      <c r="P43" t="s">
        <v>1033</v>
      </c>
      <c r="T43">
        <v>10000</v>
      </c>
      <c r="U43">
        <v>65.677066859999996</v>
      </c>
      <c r="V43">
        <v>10000</v>
      </c>
      <c r="W43">
        <v>73.502230046553791</v>
      </c>
      <c r="X43">
        <v>0.10937499582632287</v>
      </c>
      <c r="Y43">
        <v>0.27212778226409684</v>
      </c>
    </row>
    <row r="44" spans="1:25" x14ac:dyDescent="0.2">
      <c r="A44" s="60" t="s">
        <v>772</v>
      </c>
      <c r="B44" t="s">
        <v>1486</v>
      </c>
      <c r="C44" t="s">
        <v>1487</v>
      </c>
      <c r="D44" t="s">
        <v>1307</v>
      </c>
      <c r="F44">
        <v>224</v>
      </c>
      <c r="J44">
        <v>1</v>
      </c>
      <c r="L44" t="s">
        <v>1488</v>
      </c>
      <c r="M44" t="s">
        <v>1489</v>
      </c>
      <c r="N44" t="s">
        <v>876</v>
      </c>
      <c r="O44" t="s">
        <v>1032</v>
      </c>
      <c r="P44" t="s">
        <v>1033</v>
      </c>
      <c r="T44">
        <v>7.5183180360000001</v>
      </c>
      <c r="U44">
        <v>7.4290321410000004</v>
      </c>
      <c r="V44">
        <v>28.007290826998545</v>
      </c>
      <c r="W44">
        <v>17.238899771959165</v>
      </c>
      <c r="X44">
        <v>0.62496217592877934</v>
      </c>
      <c r="Y44">
        <v>0.78441091945969654</v>
      </c>
    </row>
    <row r="45" spans="1:25" x14ac:dyDescent="0.2">
      <c r="A45" s="60" t="s">
        <v>877</v>
      </c>
      <c r="B45" t="s">
        <v>1490</v>
      </c>
      <c r="C45" t="s">
        <v>1491</v>
      </c>
      <c r="D45" t="s">
        <v>1297</v>
      </c>
      <c r="F45">
        <v>228</v>
      </c>
      <c r="J45">
        <v>1</v>
      </c>
      <c r="L45" t="s">
        <v>1492</v>
      </c>
      <c r="M45" t="s">
        <v>1493</v>
      </c>
      <c r="N45" t="s">
        <v>876</v>
      </c>
      <c r="O45" t="s">
        <v>1032</v>
      </c>
      <c r="P45" t="s">
        <v>1033</v>
      </c>
      <c r="T45" t="s">
        <v>0</v>
      </c>
      <c r="U45" t="s">
        <v>0</v>
      </c>
      <c r="V45" t="s">
        <v>0</v>
      </c>
      <c r="W45" t="s">
        <v>0</v>
      </c>
      <c r="X45">
        <v>9.8958326963644358E-2</v>
      </c>
      <c r="Y45">
        <v>0.25969288126106388</v>
      </c>
    </row>
    <row r="46" spans="1:25" x14ac:dyDescent="0.2">
      <c r="A46" s="60" t="s">
        <v>1494</v>
      </c>
      <c r="B46" t="s">
        <v>1495</v>
      </c>
      <c r="C46" t="s">
        <v>1496</v>
      </c>
      <c r="D46" t="s">
        <v>1371</v>
      </c>
      <c r="F46">
        <v>231</v>
      </c>
      <c r="J46">
        <v>1</v>
      </c>
      <c r="L46" t="s">
        <v>876</v>
      </c>
      <c r="M46" t="s">
        <v>876</v>
      </c>
      <c r="N46" t="s">
        <v>876</v>
      </c>
      <c r="O46" t="s">
        <v>876</v>
      </c>
      <c r="P46" t="s">
        <v>876</v>
      </c>
      <c r="Q46">
        <v>1</v>
      </c>
    </row>
    <row r="47" spans="1:25" x14ac:dyDescent="0.2">
      <c r="A47" s="60" t="s">
        <v>879</v>
      </c>
      <c r="B47" t="s">
        <v>1497</v>
      </c>
      <c r="C47" t="s">
        <v>1498</v>
      </c>
      <c r="D47" t="s">
        <v>1375</v>
      </c>
      <c r="F47">
        <v>232</v>
      </c>
      <c r="J47">
        <v>1</v>
      </c>
      <c r="L47" t="s">
        <v>876</v>
      </c>
      <c r="M47" t="s">
        <v>876</v>
      </c>
      <c r="N47" t="s">
        <v>876</v>
      </c>
      <c r="O47" t="s">
        <v>876</v>
      </c>
      <c r="P47" t="s">
        <v>876</v>
      </c>
    </row>
    <row r="48" spans="1:25" x14ac:dyDescent="0.2">
      <c r="A48" s="60" t="s">
        <v>861</v>
      </c>
      <c r="B48" t="s">
        <v>1499</v>
      </c>
      <c r="C48" t="s">
        <v>1500</v>
      </c>
      <c r="D48" t="s">
        <v>1307</v>
      </c>
      <c r="F48">
        <v>236</v>
      </c>
      <c r="J48">
        <v>1</v>
      </c>
      <c r="L48" t="s">
        <v>1501</v>
      </c>
      <c r="M48" t="s">
        <v>1502</v>
      </c>
      <c r="N48" t="s">
        <v>876</v>
      </c>
      <c r="O48" t="s">
        <v>1032</v>
      </c>
      <c r="P48" t="s">
        <v>1033</v>
      </c>
      <c r="T48">
        <v>57.959410030000001</v>
      </c>
      <c r="U48">
        <v>56.69518412</v>
      </c>
      <c r="V48">
        <v>65.197238346468524</v>
      </c>
      <c r="W48">
        <v>63.842322733923375</v>
      </c>
      <c r="X48">
        <v>0.17407830396126003</v>
      </c>
      <c r="Y48">
        <v>0.2063030042237099</v>
      </c>
    </row>
    <row r="49" spans="1:25" x14ac:dyDescent="0.2">
      <c r="A49" s="60" t="s">
        <v>819</v>
      </c>
      <c r="B49" t="s">
        <v>1503</v>
      </c>
      <c r="C49" t="s">
        <v>1504</v>
      </c>
      <c r="D49" t="s">
        <v>1375</v>
      </c>
      <c r="F49">
        <v>238</v>
      </c>
      <c r="J49">
        <v>1</v>
      </c>
      <c r="L49" t="s">
        <v>876</v>
      </c>
      <c r="M49" t="s">
        <v>876</v>
      </c>
      <c r="N49" t="s">
        <v>876</v>
      </c>
      <c r="O49" t="s">
        <v>876</v>
      </c>
      <c r="P49" t="s">
        <v>876</v>
      </c>
    </row>
    <row r="50" spans="1:25" x14ac:dyDescent="0.2">
      <c r="A50" s="60" t="s">
        <v>1505</v>
      </c>
      <c r="B50" t="s">
        <v>1506</v>
      </c>
      <c r="C50" t="s">
        <v>1507</v>
      </c>
      <c r="D50" t="s">
        <v>1318</v>
      </c>
      <c r="F50">
        <v>245</v>
      </c>
      <c r="J50">
        <v>1</v>
      </c>
      <c r="L50" t="s">
        <v>1508</v>
      </c>
      <c r="M50" t="s">
        <v>1509</v>
      </c>
      <c r="N50" t="s">
        <v>876</v>
      </c>
      <c r="O50" t="s">
        <v>1032</v>
      </c>
      <c r="P50" t="s">
        <v>1033</v>
      </c>
      <c r="T50">
        <v>10000</v>
      </c>
      <c r="U50">
        <v>10000</v>
      </c>
      <c r="V50">
        <v>10000</v>
      </c>
      <c r="W50">
        <v>10000</v>
      </c>
      <c r="X50">
        <v>7.8125010775578305E-2</v>
      </c>
      <c r="Y50">
        <v>9.3749992327802456E-2</v>
      </c>
    </row>
    <row r="51" spans="1:25" x14ac:dyDescent="0.2">
      <c r="A51" s="60" t="s">
        <v>776</v>
      </c>
      <c r="B51" t="s">
        <v>1510</v>
      </c>
      <c r="C51" t="s">
        <v>1511</v>
      </c>
      <c r="D51" t="s">
        <v>1394</v>
      </c>
      <c r="F51">
        <v>246</v>
      </c>
      <c r="J51">
        <v>1</v>
      </c>
      <c r="L51" t="s">
        <v>876</v>
      </c>
      <c r="M51" t="s">
        <v>876</v>
      </c>
      <c r="N51" t="s">
        <v>876</v>
      </c>
      <c r="O51" t="s">
        <v>876</v>
      </c>
      <c r="P51" t="s">
        <v>876</v>
      </c>
      <c r="T51">
        <v>71.569975369999995</v>
      </c>
      <c r="U51">
        <v>34.344184230000003</v>
      </c>
      <c r="V51">
        <v>10000</v>
      </c>
      <c r="W51">
        <v>117.71732569272042</v>
      </c>
      <c r="X51">
        <v>0.12533491591497792</v>
      </c>
      <c r="Y51">
        <v>0.18121584646177372</v>
      </c>
    </row>
    <row r="52" spans="1:25" x14ac:dyDescent="0.2">
      <c r="A52" s="60" t="s">
        <v>966</v>
      </c>
      <c r="B52" t="s">
        <v>1512</v>
      </c>
      <c r="C52" t="s">
        <v>1513</v>
      </c>
      <c r="D52" t="s">
        <v>1514</v>
      </c>
      <c r="F52">
        <v>251</v>
      </c>
      <c r="J52">
        <v>1</v>
      </c>
      <c r="L52" t="s">
        <v>876</v>
      </c>
      <c r="M52" t="s">
        <v>876</v>
      </c>
      <c r="N52" t="s">
        <v>876</v>
      </c>
      <c r="O52" t="s">
        <v>876</v>
      </c>
      <c r="P52" t="s">
        <v>876</v>
      </c>
      <c r="Q52">
        <v>1</v>
      </c>
    </row>
    <row r="53" spans="1:25" x14ac:dyDescent="0.2">
      <c r="A53" s="60" t="s">
        <v>881</v>
      </c>
      <c r="B53" t="s">
        <v>1515</v>
      </c>
      <c r="C53" t="s">
        <v>1516</v>
      </c>
      <c r="D53" t="s">
        <v>1517</v>
      </c>
      <c r="F53">
        <v>254</v>
      </c>
      <c r="J53">
        <v>1</v>
      </c>
      <c r="L53" t="s">
        <v>876</v>
      </c>
      <c r="M53" t="s">
        <v>876</v>
      </c>
      <c r="N53" t="s">
        <v>876</v>
      </c>
      <c r="O53" t="s">
        <v>876</v>
      </c>
      <c r="P53" t="s">
        <v>876</v>
      </c>
    </row>
    <row r="54" spans="1:25" x14ac:dyDescent="0.2">
      <c r="A54" s="60" t="s">
        <v>778</v>
      </c>
      <c r="B54" t="s">
        <v>1518</v>
      </c>
      <c r="C54" t="s">
        <v>1519</v>
      </c>
      <c r="D54" t="s">
        <v>1307</v>
      </c>
      <c r="F54">
        <v>255</v>
      </c>
      <c r="J54">
        <v>1</v>
      </c>
      <c r="L54" t="s">
        <v>1520</v>
      </c>
      <c r="M54" t="s">
        <v>1521</v>
      </c>
      <c r="N54" t="s">
        <v>876</v>
      </c>
      <c r="O54" t="s">
        <v>667</v>
      </c>
      <c r="P54" t="s">
        <v>1522</v>
      </c>
      <c r="S54">
        <v>1</v>
      </c>
      <c r="T54">
        <v>10000</v>
      </c>
      <c r="U54">
        <v>763.74492840000005</v>
      </c>
      <c r="V54">
        <v>10000</v>
      </c>
      <c r="W54">
        <v>10000</v>
      </c>
      <c r="X54">
        <v>6.8640806244982353E-2</v>
      </c>
      <c r="Y54">
        <v>0.11203994525752763</v>
      </c>
    </row>
    <row r="55" spans="1:25" x14ac:dyDescent="0.2">
      <c r="A55" s="60" t="s">
        <v>883</v>
      </c>
      <c r="B55" t="s">
        <v>1523</v>
      </c>
      <c r="C55" t="s">
        <v>1524</v>
      </c>
      <c r="D55" t="s">
        <v>1297</v>
      </c>
      <c r="F55">
        <v>259</v>
      </c>
      <c r="J55">
        <v>1</v>
      </c>
      <c r="L55" t="s">
        <v>1525</v>
      </c>
      <c r="M55" t="s">
        <v>1526</v>
      </c>
      <c r="N55" t="s">
        <v>876</v>
      </c>
      <c r="O55" t="s">
        <v>1032</v>
      </c>
      <c r="P55" t="s">
        <v>1033</v>
      </c>
      <c r="Q55">
        <v>1</v>
      </c>
      <c r="S55">
        <v>1</v>
      </c>
      <c r="T55">
        <v>52.990893</v>
      </c>
      <c r="U55">
        <v>3.5011294240000002</v>
      </c>
      <c r="V55">
        <v>10000</v>
      </c>
      <c r="W55">
        <v>19.574501766211679</v>
      </c>
      <c r="X55">
        <v>0.20066862428003432</v>
      </c>
      <c r="Y55">
        <v>0.62531671142923095</v>
      </c>
    </row>
    <row r="56" spans="1:25" x14ac:dyDescent="0.2">
      <c r="A56" s="60" t="s">
        <v>770</v>
      </c>
      <c r="B56" t="s">
        <v>1527</v>
      </c>
      <c r="C56" t="s">
        <v>1528</v>
      </c>
      <c r="D56" t="s">
        <v>1318</v>
      </c>
      <c r="F56">
        <v>260</v>
      </c>
      <c r="J56">
        <v>1</v>
      </c>
      <c r="L56" t="s">
        <v>1529</v>
      </c>
      <c r="M56" t="s">
        <v>1530</v>
      </c>
      <c r="N56" t="s">
        <v>876</v>
      </c>
      <c r="O56" t="s">
        <v>1032</v>
      </c>
      <c r="P56" t="s">
        <v>1033</v>
      </c>
      <c r="T56">
        <v>10000</v>
      </c>
      <c r="U56">
        <v>10000</v>
      </c>
      <c r="V56">
        <v>10000</v>
      </c>
      <c r="W56">
        <v>10000</v>
      </c>
      <c r="X56">
        <v>0.15104165908577524</v>
      </c>
      <c r="Y56">
        <v>0.19270832677143915</v>
      </c>
    </row>
    <row r="57" spans="1:25" x14ac:dyDescent="0.2">
      <c r="A57" s="60" t="s">
        <v>830</v>
      </c>
      <c r="B57" t="s">
        <v>1531</v>
      </c>
      <c r="C57" t="s">
        <v>1532</v>
      </c>
      <c r="D57" t="s">
        <v>1517</v>
      </c>
      <c r="F57">
        <v>262</v>
      </c>
      <c r="J57">
        <v>1</v>
      </c>
      <c r="L57" t="s">
        <v>876</v>
      </c>
      <c r="M57" t="s">
        <v>876</v>
      </c>
      <c r="N57" t="s">
        <v>876</v>
      </c>
      <c r="O57" t="s">
        <v>876</v>
      </c>
      <c r="P57" t="s">
        <v>876</v>
      </c>
    </row>
    <row r="58" spans="1:25" x14ac:dyDescent="0.2">
      <c r="A58" s="60" t="s">
        <v>1533</v>
      </c>
      <c r="B58" t="s">
        <v>1534</v>
      </c>
      <c r="C58" t="s">
        <v>1535</v>
      </c>
      <c r="D58" t="s">
        <v>1297</v>
      </c>
      <c r="F58">
        <v>264</v>
      </c>
      <c r="J58">
        <v>1</v>
      </c>
      <c r="L58" t="s">
        <v>1536</v>
      </c>
      <c r="M58" t="s">
        <v>1537</v>
      </c>
      <c r="N58" t="s">
        <v>876</v>
      </c>
      <c r="O58" t="s">
        <v>1032</v>
      </c>
      <c r="P58" t="s">
        <v>1033</v>
      </c>
      <c r="T58">
        <v>10000</v>
      </c>
      <c r="U58">
        <v>49.406093329999997</v>
      </c>
      <c r="V58">
        <v>10000</v>
      </c>
      <c r="W58">
        <v>69.409550865646082</v>
      </c>
      <c r="X58">
        <v>0.17187499895342484</v>
      </c>
      <c r="Y58">
        <v>0.24500727003581149</v>
      </c>
    </row>
    <row r="59" spans="1:25" x14ac:dyDescent="0.2">
      <c r="A59" s="60" t="s">
        <v>774</v>
      </c>
      <c r="B59" t="s">
        <v>1538</v>
      </c>
      <c r="C59" t="s">
        <v>1539</v>
      </c>
      <c r="D59" t="s">
        <v>1307</v>
      </c>
      <c r="F59">
        <v>265</v>
      </c>
      <c r="J59">
        <v>1</v>
      </c>
      <c r="L59" t="s">
        <v>1540</v>
      </c>
      <c r="M59" t="s">
        <v>1541</v>
      </c>
      <c r="N59" t="s">
        <v>876</v>
      </c>
      <c r="O59" t="s">
        <v>1032</v>
      </c>
      <c r="P59" t="s">
        <v>1033</v>
      </c>
      <c r="T59">
        <v>64.98085931</v>
      </c>
      <c r="U59">
        <v>72.791436529999999</v>
      </c>
      <c r="V59">
        <v>72.745716383471233</v>
      </c>
      <c r="W59">
        <v>124.29926587512537</v>
      </c>
      <c r="X59">
        <v>0.36219121821248235</v>
      </c>
      <c r="Y59">
        <v>0.37677379600792937</v>
      </c>
    </row>
    <row r="60" spans="1:25" x14ac:dyDescent="0.2">
      <c r="A60" s="60" t="s">
        <v>828</v>
      </c>
      <c r="B60" t="s">
        <v>1542</v>
      </c>
      <c r="C60" t="s">
        <v>1543</v>
      </c>
      <c r="D60" t="s">
        <v>1394</v>
      </c>
      <c r="F60">
        <v>271</v>
      </c>
      <c r="J60">
        <v>1</v>
      </c>
      <c r="L60" t="s">
        <v>1544</v>
      </c>
      <c r="M60" t="s">
        <v>1545</v>
      </c>
      <c r="N60" t="s">
        <v>876</v>
      </c>
      <c r="O60" t="s">
        <v>1032</v>
      </c>
      <c r="P60" t="s">
        <v>1033</v>
      </c>
      <c r="Q60">
        <v>1</v>
      </c>
      <c r="T60">
        <v>10000</v>
      </c>
      <c r="U60">
        <v>3.9476794800000001</v>
      </c>
      <c r="V60">
        <v>10000</v>
      </c>
      <c r="W60">
        <v>5.1177736573746966</v>
      </c>
      <c r="X60">
        <v>4.3749899844295725E-2</v>
      </c>
      <c r="Y60">
        <v>0.355298498335897</v>
      </c>
    </row>
    <row r="61" spans="1:25" x14ac:dyDescent="0.2">
      <c r="A61" s="60" t="s">
        <v>1546</v>
      </c>
      <c r="B61" t="s">
        <v>1547</v>
      </c>
      <c r="C61" t="s">
        <v>1548</v>
      </c>
      <c r="D61" t="s">
        <v>1549</v>
      </c>
      <c r="F61">
        <v>282</v>
      </c>
      <c r="J61">
        <v>1</v>
      </c>
      <c r="L61" t="s">
        <v>1550</v>
      </c>
      <c r="M61" t="s">
        <v>1551</v>
      </c>
      <c r="N61" t="s">
        <v>876</v>
      </c>
      <c r="O61" t="s">
        <v>1032</v>
      </c>
      <c r="P61" t="s">
        <v>1033</v>
      </c>
      <c r="Q61">
        <v>1</v>
      </c>
      <c r="S61">
        <v>1</v>
      </c>
    </row>
    <row r="62" spans="1:25" x14ac:dyDescent="0.2">
      <c r="A62" s="60" t="s">
        <v>1552</v>
      </c>
      <c r="B62" t="s">
        <v>1553</v>
      </c>
      <c r="C62" t="s">
        <v>1554</v>
      </c>
      <c r="D62" t="s">
        <v>1394</v>
      </c>
      <c r="F62">
        <v>283</v>
      </c>
      <c r="J62">
        <v>1</v>
      </c>
      <c r="K62">
        <v>1</v>
      </c>
      <c r="L62" t="s">
        <v>1555</v>
      </c>
      <c r="M62" t="s">
        <v>1556</v>
      </c>
      <c r="N62" t="s">
        <v>876</v>
      </c>
      <c r="O62" t="s">
        <v>1032</v>
      </c>
      <c r="P62" t="s">
        <v>1033</v>
      </c>
      <c r="Q62">
        <v>1</v>
      </c>
      <c r="R62">
        <v>1</v>
      </c>
      <c r="S62">
        <v>1</v>
      </c>
      <c r="T62">
        <v>9.9999999999999995E-7</v>
      </c>
      <c r="U62">
        <v>9.9999999999999995E-7</v>
      </c>
      <c r="V62">
        <v>10000</v>
      </c>
      <c r="W62">
        <v>10000</v>
      </c>
      <c r="X62">
        <v>0.33749971792787314</v>
      </c>
      <c r="Y62">
        <v>0.36249882736096983</v>
      </c>
    </row>
    <row r="63" spans="1:25" x14ac:dyDescent="0.2">
      <c r="A63" s="60" t="s">
        <v>1557</v>
      </c>
      <c r="B63" t="s">
        <v>1558</v>
      </c>
      <c r="C63" t="s">
        <v>1559</v>
      </c>
      <c r="D63" t="s">
        <v>1297</v>
      </c>
      <c r="F63">
        <v>286</v>
      </c>
      <c r="J63">
        <v>1</v>
      </c>
      <c r="L63" t="s">
        <v>1560</v>
      </c>
      <c r="M63" t="s">
        <v>1561</v>
      </c>
      <c r="N63" t="s">
        <v>876</v>
      </c>
      <c r="O63" t="s">
        <v>1032</v>
      </c>
      <c r="P63" t="s">
        <v>1033</v>
      </c>
      <c r="T63">
        <v>10000</v>
      </c>
      <c r="U63">
        <v>254.38727109999999</v>
      </c>
      <c r="V63">
        <v>10000</v>
      </c>
      <c r="W63">
        <v>10000</v>
      </c>
      <c r="X63">
        <v>9.0309998879633424E-2</v>
      </c>
      <c r="Y63">
        <v>0.10874774309480377</v>
      </c>
    </row>
    <row r="64" spans="1:25" x14ac:dyDescent="0.2">
      <c r="A64" s="60" t="s">
        <v>1562</v>
      </c>
      <c r="B64" t="s">
        <v>1563</v>
      </c>
      <c r="C64" t="s">
        <v>1564</v>
      </c>
      <c r="D64" t="s">
        <v>1297</v>
      </c>
      <c r="F64">
        <v>293</v>
      </c>
      <c r="J64">
        <v>1</v>
      </c>
      <c r="K64">
        <v>1</v>
      </c>
      <c r="L64" t="s">
        <v>1565</v>
      </c>
      <c r="M64" t="s">
        <v>980</v>
      </c>
      <c r="N64" t="s">
        <v>876</v>
      </c>
      <c r="O64" t="s">
        <v>667</v>
      </c>
      <c r="P64" t="s">
        <v>1438</v>
      </c>
      <c r="Q64">
        <v>1</v>
      </c>
      <c r="R64">
        <v>1</v>
      </c>
      <c r="T64">
        <v>77.458176300000005</v>
      </c>
      <c r="U64">
        <v>10000</v>
      </c>
      <c r="V64">
        <v>111.343412124529</v>
      </c>
      <c r="W64">
        <v>10000</v>
      </c>
      <c r="X64">
        <v>0.13441794711580707</v>
      </c>
      <c r="Y64">
        <v>0.18750001490154858</v>
      </c>
    </row>
    <row r="65" spans="1:25" x14ac:dyDescent="0.2">
      <c r="A65" s="60" t="s">
        <v>1566</v>
      </c>
      <c r="B65" t="s">
        <v>1567</v>
      </c>
      <c r="C65" t="s">
        <v>1568</v>
      </c>
      <c r="D65" t="s">
        <v>1307</v>
      </c>
      <c r="F65">
        <v>298</v>
      </c>
      <c r="J65">
        <v>1</v>
      </c>
      <c r="L65" t="s">
        <v>1569</v>
      </c>
      <c r="M65" t="s">
        <v>1570</v>
      </c>
      <c r="N65" t="s">
        <v>876</v>
      </c>
      <c r="O65" t="s">
        <v>1032</v>
      </c>
      <c r="P65" t="s">
        <v>1033</v>
      </c>
      <c r="T65">
        <v>10000</v>
      </c>
      <c r="U65" t="s">
        <v>0</v>
      </c>
      <c r="V65">
        <v>10000</v>
      </c>
      <c r="W65" t="s">
        <v>0</v>
      </c>
      <c r="X65">
        <v>0.13541665955138707</v>
      </c>
      <c r="Y65">
        <v>0.16145863244024455</v>
      </c>
    </row>
    <row r="66" spans="1:25" x14ac:dyDescent="0.2">
      <c r="A66" s="60" t="s">
        <v>1571</v>
      </c>
      <c r="B66" t="s">
        <v>1572</v>
      </c>
      <c r="C66" t="s">
        <v>1573</v>
      </c>
      <c r="D66" t="s">
        <v>1307</v>
      </c>
      <c r="F66">
        <v>306</v>
      </c>
      <c r="J66">
        <v>1</v>
      </c>
      <c r="L66" t="s">
        <v>1574</v>
      </c>
      <c r="M66" t="s">
        <v>1575</v>
      </c>
      <c r="N66" t="s">
        <v>876</v>
      </c>
      <c r="O66" t="s">
        <v>1032</v>
      </c>
      <c r="P66" t="s">
        <v>1033</v>
      </c>
      <c r="T66">
        <v>4.9724271819999997</v>
      </c>
      <c r="U66">
        <v>5.0347850510000001</v>
      </c>
      <c r="V66">
        <v>6.3111297943014524</v>
      </c>
      <c r="W66">
        <v>5.6969776513884218</v>
      </c>
      <c r="X66">
        <v>0.85275573773386737</v>
      </c>
      <c r="Y66">
        <v>0.86415923466404831</v>
      </c>
    </row>
    <row r="67" spans="1:25" x14ac:dyDescent="0.2">
      <c r="A67" s="60" t="s">
        <v>1576</v>
      </c>
      <c r="B67" t="s">
        <v>1577</v>
      </c>
      <c r="C67" t="s">
        <v>1578</v>
      </c>
      <c r="D67" t="s">
        <v>1307</v>
      </c>
      <c r="F67">
        <v>309</v>
      </c>
      <c r="J67">
        <v>1</v>
      </c>
      <c r="L67" t="s">
        <v>1579</v>
      </c>
      <c r="M67" t="s">
        <v>1580</v>
      </c>
      <c r="N67" t="s">
        <v>876</v>
      </c>
      <c r="O67" t="s">
        <v>1032</v>
      </c>
      <c r="P67" t="s">
        <v>1033</v>
      </c>
      <c r="T67">
        <v>60.7412019</v>
      </c>
      <c r="U67">
        <v>60.567648390000002</v>
      </c>
      <c r="V67">
        <v>68.186305110163019</v>
      </c>
      <c r="W67">
        <v>68.01749106215226</v>
      </c>
      <c r="X67">
        <v>0.19792161600607128</v>
      </c>
      <c r="Y67">
        <v>0.2294006512863927</v>
      </c>
    </row>
    <row r="68" spans="1:25" x14ac:dyDescent="0.2">
      <c r="A68" s="60" t="s">
        <v>1581</v>
      </c>
      <c r="B68" t="s">
        <v>1582</v>
      </c>
      <c r="C68" t="s">
        <v>1583</v>
      </c>
      <c r="D68" t="s">
        <v>1307</v>
      </c>
      <c r="F68">
        <v>312</v>
      </c>
      <c r="J68">
        <v>1</v>
      </c>
      <c r="L68" t="s">
        <v>1584</v>
      </c>
      <c r="M68" t="s">
        <v>1585</v>
      </c>
      <c r="N68" t="s">
        <v>876</v>
      </c>
      <c r="O68" t="s">
        <v>1032</v>
      </c>
      <c r="P68" t="s">
        <v>1033</v>
      </c>
      <c r="T68">
        <v>10000</v>
      </c>
      <c r="U68">
        <v>154.29324980000001</v>
      </c>
      <c r="V68">
        <v>10000</v>
      </c>
      <c r="W68">
        <v>10000</v>
      </c>
      <c r="X68">
        <v>0.15135700292276816</v>
      </c>
      <c r="Y68">
        <v>0.20001181800643394</v>
      </c>
    </row>
    <row r="69" spans="1:25" x14ac:dyDescent="0.2">
      <c r="A69" s="60" t="s">
        <v>1586</v>
      </c>
      <c r="B69" t="s">
        <v>1587</v>
      </c>
      <c r="C69" t="s">
        <v>1588</v>
      </c>
      <c r="D69" t="s">
        <v>866</v>
      </c>
      <c r="F69">
        <v>351</v>
      </c>
      <c r="J69">
        <v>1</v>
      </c>
      <c r="L69" t="s">
        <v>876</v>
      </c>
      <c r="M69" t="s">
        <v>876</v>
      </c>
      <c r="N69" t="s">
        <v>876</v>
      </c>
      <c r="O69" t="s">
        <v>876</v>
      </c>
      <c r="P69" t="s">
        <v>876</v>
      </c>
      <c r="T69">
        <v>12.385565489999999</v>
      </c>
      <c r="U69">
        <v>14.249198939999999</v>
      </c>
      <c r="V69">
        <v>16.259630115141384</v>
      </c>
      <c r="W69">
        <v>17.634591730784265</v>
      </c>
      <c r="X69">
        <v>0.75906773143006223</v>
      </c>
      <c r="Y69">
        <v>0.75064271066774546</v>
      </c>
    </row>
    <row r="70" spans="1:25" x14ac:dyDescent="0.2">
      <c r="A70" s="60" t="s">
        <v>1589</v>
      </c>
      <c r="B70" t="s">
        <v>1590</v>
      </c>
      <c r="C70" t="s">
        <v>1591</v>
      </c>
      <c r="D70" t="s">
        <v>1318</v>
      </c>
      <c r="F70">
        <v>352</v>
      </c>
      <c r="J70">
        <v>1</v>
      </c>
      <c r="L70" t="s">
        <v>1592</v>
      </c>
      <c r="M70" t="s">
        <v>1593</v>
      </c>
      <c r="N70" t="s">
        <v>876</v>
      </c>
      <c r="O70" t="s">
        <v>667</v>
      </c>
      <c r="P70" t="s">
        <v>1438</v>
      </c>
      <c r="T70">
        <v>9.1705465579999998</v>
      </c>
      <c r="U70">
        <v>7.9087668180000001</v>
      </c>
      <c r="V70">
        <v>17.527370604040687</v>
      </c>
      <c r="W70">
        <v>17.143598090967899</v>
      </c>
      <c r="X70">
        <v>0.75051833369530352</v>
      </c>
      <c r="Y70">
        <v>0.75777501489391641</v>
      </c>
    </row>
    <row r="71" spans="1:25" x14ac:dyDescent="0.2">
      <c r="A71" s="60" t="s">
        <v>1594</v>
      </c>
      <c r="B71" t="s">
        <v>1595</v>
      </c>
      <c r="C71" t="s">
        <v>1596</v>
      </c>
      <c r="D71" t="s">
        <v>1297</v>
      </c>
      <c r="F71">
        <v>353</v>
      </c>
      <c r="J71">
        <v>1</v>
      </c>
      <c r="L71" t="s">
        <v>1597</v>
      </c>
      <c r="M71" t="s">
        <v>1598</v>
      </c>
      <c r="N71" t="s">
        <v>876</v>
      </c>
      <c r="O71" t="s">
        <v>667</v>
      </c>
      <c r="P71" t="s">
        <v>1438</v>
      </c>
      <c r="T71">
        <v>10000</v>
      </c>
      <c r="U71">
        <v>61.16867431</v>
      </c>
      <c r="V71">
        <v>10000</v>
      </c>
      <c r="W71">
        <v>68.644417329381142</v>
      </c>
      <c r="X71">
        <v>0.31249999833878706</v>
      </c>
      <c r="Y71">
        <v>0.33652303832697628</v>
      </c>
    </row>
    <row r="72" spans="1:25" x14ac:dyDescent="0.2">
      <c r="A72" s="60" t="s">
        <v>1599</v>
      </c>
      <c r="B72" t="s">
        <v>1600</v>
      </c>
      <c r="C72" t="s">
        <v>1601</v>
      </c>
      <c r="D72" t="s">
        <v>1297</v>
      </c>
      <c r="F72">
        <v>355</v>
      </c>
      <c r="J72">
        <v>1</v>
      </c>
      <c r="L72" t="s">
        <v>1602</v>
      </c>
      <c r="M72" t="s">
        <v>1603</v>
      </c>
      <c r="N72" t="s">
        <v>876</v>
      </c>
      <c r="O72" t="s">
        <v>1032</v>
      </c>
      <c r="P72" t="s">
        <v>1033</v>
      </c>
      <c r="T72" t="s">
        <v>0</v>
      </c>
      <c r="U72">
        <v>5.5729215410000004</v>
      </c>
      <c r="V72" t="s">
        <v>0</v>
      </c>
      <c r="W72">
        <v>6.9664924865468354</v>
      </c>
      <c r="X72">
        <v>0.17187499320247174</v>
      </c>
      <c r="Y72">
        <v>0.88559691641923566</v>
      </c>
    </row>
    <row r="73" spans="1:25" x14ac:dyDescent="0.2">
      <c r="A73" s="60" t="s">
        <v>1604</v>
      </c>
      <c r="B73" t="s">
        <v>1605</v>
      </c>
      <c r="C73" t="s">
        <v>1606</v>
      </c>
      <c r="D73" t="s">
        <v>1375</v>
      </c>
      <c r="F73">
        <v>361</v>
      </c>
      <c r="J73">
        <v>1</v>
      </c>
      <c r="L73" t="s">
        <v>876</v>
      </c>
      <c r="M73" t="s">
        <v>876</v>
      </c>
      <c r="N73" t="s">
        <v>876</v>
      </c>
      <c r="O73" t="s">
        <v>876</v>
      </c>
      <c r="P73" t="s">
        <v>876</v>
      </c>
    </row>
    <row r="74" spans="1:25" x14ac:dyDescent="0.2">
      <c r="A74" s="60" t="s">
        <v>1607</v>
      </c>
      <c r="B74" t="s">
        <v>1608</v>
      </c>
      <c r="C74" t="s">
        <v>1609</v>
      </c>
      <c r="D74" t="s">
        <v>1318</v>
      </c>
      <c r="F74">
        <v>362</v>
      </c>
      <c r="J74">
        <v>1</v>
      </c>
      <c r="L74" t="s">
        <v>1610</v>
      </c>
      <c r="M74" t="s">
        <v>1611</v>
      </c>
      <c r="N74" t="s">
        <v>876</v>
      </c>
      <c r="O74" t="s">
        <v>1032</v>
      </c>
      <c r="P74" t="s">
        <v>1033</v>
      </c>
      <c r="T74">
        <v>10.74167926</v>
      </c>
      <c r="U74">
        <v>11.0585022</v>
      </c>
      <c r="V74">
        <v>11.875388532816936</v>
      </c>
      <c r="W74">
        <v>12.163369983881797</v>
      </c>
      <c r="X74">
        <v>0.84921357146176468</v>
      </c>
      <c r="Y74">
        <v>0.85251518110889968</v>
      </c>
    </row>
    <row r="75" spans="1:25" x14ac:dyDescent="0.2">
      <c r="A75" s="60" t="s">
        <v>1612</v>
      </c>
      <c r="B75" t="s">
        <v>1613</v>
      </c>
      <c r="C75" t="s">
        <v>1614</v>
      </c>
      <c r="D75" t="s">
        <v>1375</v>
      </c>
      <c r="F75">
        <v>371</v>
      </c>
      <c r="J75">
        <v>1</v>
      </c>
      <c r="L75" t="s">
        <v>876</v>
      </c>
      <c r="M75" t="s">
        <v>876</v>
      </c>
      <c r="N75" t="s">
        <v>876</v>
      </c>
      <c r="O75" t="s">
        <v>876</v>
      </c>
      <c r="P75" t="s">
        <v>876</v>
      </c>
    </row>
    <row r="76" spans="1:25" x14ac:dyDescent="0.2">
      <c r="A76" s="60" t="s">
        <v>1615</v>
      </c>
      <c r="B76" t="s">
        <v>1616</v>
      </c>
      <c r="C76" t="s">
        <v>1617</v>
      </c>
      <c r="D76" t="s">
        <v>1388</v>
      </c>
      <c r="F76">
        <v>377</v>
      </c>
      <c r="J76">
        <v>1</v>
      </c>
      <c r="L76" t="s">
        <v>1618</v>
      </c>
      <c r="M76" t="s">
        <v>1619</v>
      </c>
      <c r="N76" t="s">
        <v>876</v>
      </c>
      <c r="O76" t="s">
        <v>1032</v>
      </c>
      <c r="P76" t="s">
        <v>1033</v>
      </c>
      <c r="T76" t="s">
        <v>0</v>
      </c>
      <c r="U76" t="s">
        <v>0</v>
      </c>
      <c r="V76" t="s">
        <v>0</v>
      </c>
      <c r="W76" t="s">
        <v>0</v>
      </c>
      <c r="X76">
        <v>0.1197916631481393</v>
      </c>
      <c r="Y76">
        <v>0.1614583296392661</v>
      </c>
    </row>
    <row r="77" spans="1:25" x14ac:dyDescent="0.2">
      <c r="A77" s="60" t="s">
        <v>1620</v>
      </c>
      <c r="B77" t="s">
        <v>1621</v>
      </c>
      <c r="C77" t="s">
        <v>1622</v>
      </c>
      <c r="D77" t="s">
        <v>1318</v>
      </c>
      <c r="F77">
        <v>382</v>
      </c>
      <c r="J77">
        <v>1</v>
      </c>
      <c r="L77" t="s">
        <v>1623</v>
      </c>
      <c r="M77" t="s">
        <v>1624</v>
      </c>
      <c r="N77" t="s">
        <v>876</v>
      </c>
      <c r="O77" t="s">
        <v>1032</v>
      </c>
      <c r="P77" t="s">
        <v>1033</v>
      </c>
      <c r="T77">
        <v>2.6440737150000002</v>
      </c>
      <c r="U77">
        <v>0.87189346199999995</v>
      </c>
      <c r="V77">
        <v>10000</v>
      </c>
      <c r="W77">
        <v>10000</v>
      </c>
      <c r="X77">
        <v>0.19608822622049651</v>
      </c>
      <c r="Y77">
        <v>0.21526435014522752</v>
      </c>
    </row>
    <row r="78" spans="1:25" x14ac:dyDescent="0.2">
      <c r="A78" s="60" t="s">
        <v>1625</v>
      </c>
      <c r="B78" t="s">
        <v>1626</v>
      </c>
      <c r="C78" t="s">
        <v>1627</v>
      </c>
      <c r="D78" t="s">
        <v>1514</v>
      </c>
      <c r="F78">
        <v>385</v>
      </c>
      <c r="J78">
        <v>1</v>
      </c>
      <c r="L78" t="s">
        <v>876</v>
      </c>
      <c r="M78" t="s">
        <v>876</v>
      </c>
      <c r="N78" t="s">
        <v>876</v>
      </c>
      <c r="O78" t="s">
        <v>876</v>
      </c>
      <c r="P78" t="s">
        <v>876</v>
      </c>
    </row>
    <row r="79" spans="1:25" x14ac:dyDescent="0.2">
      <c r="A79" s="60" t="s">
        <v>1628</v>
      </c>
      <c r="B79" t="s">
        <v>1629</v>
      </c>
      <c r="C79" t="s">
        <v>1630</v>
      </c>
      <c r="D79" t="s">
        <v>1388</v>
      </c>
      <c r="F79">
        <v>386</v>
      </c>
      <c r="J79">
        <v>1</v>
      </c>
      <c r="L79" t="s">
        <v>1631</v>
      </c>
      <c r="M79" t="s">
        <v>1632</v>
      </c>
      <c r="N79" t="s">
        <v>876</v>
      </c>
      <c r="O79" t="s">
        <v>1032</v>
      </c>
      <c r="P79" t="s">
        <v>1033</v>
      </c>
      <c r="T79">
        <v>6.0250021809999996</v>
      </c>
      <c r="U79">
        <v>6.3218594550000002</v>
      </c>
      <c r="V79">
        <v>16.672863207407804</v>
      </c>
      <c r="W79">
        <v>8.1864320038610323</v>
      </c>
      <c r="X79">
        <v>0.66161843202731485</v>
      </c>
      <c r="Y79">
        <v>0.8486690540810834</v>
      </c>
    </row>
    <row r="80" spans="1:25" x14ac:dyDescent="0.2">
      <c r="A80" s="60" t="s">
        <v>1633</v>
      </c>
      <c r="B80" t="s">
        <v>1634</v>
      </c>
      <c r="C80" t="s">
        <v>1635</v>
      </c>
      <c r="D80" t="s">
        <v>1307</v>
      </c>
      <c r="F80">
        <v>387</v>
      </c>
      <c r="J80">
        <v>1</v>
      </c>
      <c r="L80" t="s">
        <v>1636</v>
      </c>
      <c r="M80" t="s">
        <v>1637</v>
      </c>
      <c r="N80" t="s">
        <v>876</v>
      </c>
      <c r="O80" t="s">
        <v>1032</v>
      </c>
      <c r="P80" t="s">
        <v>1033</v>
      </c>
      <c r="Q80">
        <v>1</v>
      </c>
      <c r="S80">
        <v>1</v>
      </c>
      <c r="T80">
        <v>44.19187067</v>
      </c>
      <c r="U80">
        <v>50.000500240000001</v>
      </c>
      <c r="V80">
        <v>67.20920119582749</v>
      </c>
      <c r="W80">
        <v>56.597077803673443</v>
      </c>
      <c r="X80">
        <v>0.188359536987558</v>
      </c>
      <c r="Y80">
        <v>0.26951336079410948</v>
      </c>
    </row>
    <row r="81" spans="1:25" x14ac:dyDescent="0.2">
      <c r="A81" s="60" t="s">
        <v>1638</v>
      </c>
      <c r="B81" t="s">
        <v>1639</v>
      </c>
      <c r="C81" t="s">
        <v>1640</v>
      </c>
      <c r="D81" t="s">
        <v>1297</v>
      </c>
      <c r="F81">
        <v>388</v>
      </c>
      <c r="J81">
        <v>1</v>
      </c>
      <c r="L81" t="s">
        <v>1641</v>
      </c>
      <c r="M81" t="s">
        <v>1642</v>
      </c>
      <c r="N81" t="s">
        <v>876</v>
      </c>
      <c r="O81" t="s">
        <v>678</v>
      </c>
      <c r="P81" t="s">
        <v>1643</v>
      </c>
      <c r="T81">
        <v>10000</v>
      </c>
      <c r="U81">
        <v>10000</v>
      </c>
      <c r="V81">
        <v>10000</v>
      </c>
      <c r="W81">
        <v>10000</v>
      </c>
      <c r="X81">
        <v>7.5620421231043233E-2</v>
      </c>
      <c r="Y81">
        <v>9.7710293646542032E-2</v>
      </c>
    </row>
    <row r="82" spans="1:25" x14ac:dyDescent="0.2">
      <c r="A82" s="60" t="s">
        <v>1644</v>
      </c>
      <c r="B82" t="s">
        <v>1645</v>
      </c>
      <c r="C82" t="s">
        <v>1646</v>
      </c>
      <c r="D82" t="s">
        <v>1375</v>
      </c>
      <c r="F82">
        <v>395</v>
      </c>
      <c r="J82">
        <v>1</v>
      </c>
      <c r="L82" t="s">
        <v>876</v>
      </c>
      <c r="M82" t="s">
        <v>876</v>
      </c>
      <c r="N82" t="s">
        <v>876</v>
      </c>
      <c r="O82" t="s">
        <v>876</v>
      </c>
      <c r="P82" t="s">
        <v>876</v>
      </c>
    </row>
    <row r="83" spans="1:25" x14ac:dyDescent="0.2">
      <c r="A83" s="60" t="s">
        <v>1647</v>
      </c>
      <c r="B83" t="s">
        <v>1648</v>
      </c>
      <c r="C83" t="s">
        <v>1649</v>
      </c>
      <c r="D83" t="s">
        <v>1297</v>
      </c>
      <c r="F83">
        <v>402</v>
      </c>
      <c r="J83">
        <v>1</v>
      </c>
      <c r="L83" t="s">
        <v>1650</v>
      </c>
      <c r="M83" t="s">
        <v>1651</v>
      </c>
      <c r="N83" t="s">
        <v>876</v>
      </c>
      <c r="O83" t="s">
        <v>1032</v>
      </c>
      <c r="P83" t="s">
        <v>1033</v>
      </c>
      <c r="Q83">
        <v>1</v>
      </c>
      <c r="S83">
        <v>1</v>
      </c>
      <c r="T83">
        <v>10000</v>
      </c>
      <c r="U83">
        <v>189.9932517</v>
      </c>
      <c r="V83">
        <v>10000</v>
      </c>
      <c r="W83">
        <v>10000</v>
      </c>
      <c r="X83">
        <v>0.21960374119051251</v>
      </c>
      <c r="Y83">
        <v>0.26970162002585263</v>
      </c>
    </row>
    <row r="84" spans="1:25" x14ac:dyDescent="0.2">
      <c r="A84" s="60" t="s">
        <v>1652</v>
      </c>
      <c r="B84" t="s">
        <v>1653</v>
      </c>
      <c r="C84" t="s">
        <v>1654</v>
      </c>
      <c r="D84" t="s">
        <v>1375</v>
      </c>
      <c r="F84">
        <v>404</v>
      </c>
      <c r="J84">
        <v>1</v>
      </c>
      <c r="L84" t="s">
        <v>876</v>
      </c>
      <c r="M84" t="s">
        <v>876</v>
      </c>
      <c r="N84" t="s">
        <v>876</v>
      </c>
      <c r="O84" t="s">
        <v>876</v>
      </c>
      <c r="P84" t="s">
        <v>876</v>
      </c>
    </row>
    <row r="85" spans="1:25" x14ac:dyDescent="0.2">
      <c r="A85" s="60" t="s">
        <v>1655</v>
      </c>
      <c r="B85" t="s">
        <v>1656</v>
      </c>
      <c r="C85" t="s">
        <v>1657</v>
      </c>
      <c r="D85" t="s">
        <v>1307</v>
      </c>
      <c r="F85">
        <v>410</v>
      </c>
      <c r="J85">
        <v>1</v>
      </c>
      <c r="L85" t="s">
        <v>1658</v>
      </c>
      <c r="M85" t="s">
        <v>887</v>
      </c>
      <c r="N85" t="s">
        <v>876</v>
      </c>
      <c r="O85" t="s">
        <v>1032</v>
      </c>
      <c r="P85" t="s">
        <v>1033</v>
      </c>
      <c r="T85">
        <v>10000</v>
      </c>
      <c r="U85">
        <v>10000</v>
      </c>
      <c r="V85">
        <v>10000</v>
      </c>
      <c r="W85">
        <v>10000</v>
      </c>
      <c r="X85">
        <v>0.1302083321979744</v>
      </c>
      <c r="Y85">
        <v>0.15624999331709563</v>
      </c>
    </row>
    <row r="86" spans="1:25" x14ac:dyDescent="0.2">
      <c r="A86" s="60" t="s">
        <v>1659</v>
      </c>
      <c r="B86" t="s">
        <v>1660</v>
      </c>
      <c r="C86" t="s">
        <v>1661</v>
      </c>
      <c r="D86" t="s">
        <v>1662</v>
      </c>
      <c r="F86">
        <v>412</v>
      </c>
      <c r="J86">
        <v>1</v>
      </c>
      <c r="L86" t="s">
        <v>876</v>
      </c>
      <c r="M86" t="s">
        <v>876</v>
      </c>
      <c r="N86" t="s">
        <v>876</v>
      </c>
      <c r="O86" t="s">
        <v>876</v>
      </c>
      <c r="P86" t="s">
        <v>876</v>
      </c>
    </row>
    <row r="87" spans="1:25" x14ac:dyDescent="0.2">
      <c r="A87" s="60" t="s">
        <v>1663</v>
      </c>
      <c r="B87" t="s">
        <v>1664</v>
      </c>
      <c r="C87" t="s">
        <v>1665</v>
      </c>
      <c r="D87" t="s">
        <v>1307</v>
      </c>
      <c r="F87">
        <v>415</v>
      </c>
      <c r="J87">
        <v>1</v>
      </c>
      <c r="L87" t="s">
        <v>1666</v>
      </c>
      <c r="M87" t="s">
        <v>1667</v>
      </c>
      <c r="N87" t="s">
        <v>876</v>
      </c>
      <c r="O87" t="s">
        <v>1032</v>
      </c>
      <c r="P87" t="s">
        <v>1033</v>
      </c>
      <c r="T87" t="s">
        <v>0</v>
      </c>
      <c r="U87" t="s">
        <v>0</v>
      </c>
      <c r="V87" t="s">
        <v>0</v>
      </c>
      <c r="W87" t="s">
        <v>0</v>
      </c>
      <c r="X87">
        <v>0.10937499327110457</v>
      </c>
      <c r="Y87">
        <v>0.11458332746161132</v>
      </c>
    </row>
    <row r="88" spans="1:25" x14ac:dyDescent="0.2">
      <c r="A88" s="60" t="s">
        <v>1668</v>
      </c>
      <c r="B88" t="s">
        <v>1669</v>
      </c>
      <c r="C88" t="s">
        <v>1670</v>
      </c>
      <c r="D88" t="s">
        <v>1375</v>
      </c>
      <c r="F88">
        <v>420</v>
      </c>
      <c r="J88">
        <v>1</v>
      </c>
      <c r="L88" t="s">
        <v>876</v>
      </c>
      <c r="M88" t="s">
        <v>876</v>
      </c>
      <c r="N88" t="s">
        <v>876</v>
      </c>
      <c r="O88" t="s">
        <v>876</v>
      </c>
      <c r="P88" t="s">
        <v>876</v>
      </c>
    </row>
    <row r="89" spans="1:25" x14ac:dyDescent="0.2">
      <c r="A89" s="60" t="s">
        <v>1671</v>
      </c>
      <c r="B89" t="s">
        <v>1672</v>
      </c>
      <c r="C89" t="s">
        <v>1673</v>
      </c>
      <c r="D89" t="s">
        <v>1375</v>
      </c>
      <c r="F89">
        <v>425</v>
      </c>
      <c r="J89">
        <v>1</v>
      </c>
      <c r="L89" t="s">
        <v>876</v>
      </c>
      <c r="M89" t="s">
        <v>876</v>
      </c>
      <c r="N89" t="s">
        <v>876</v>
      </c>
      <c r="O89" t="s">
        <v>876</v>
      </c>
      <c r="P89" t="s">
        <v>876</v>
      </c>
    </row>
    <row r="90" spans="1:25" x14ac:dyDescent="0.2">
      <c r="A90" s="60" t="s">
        <v>1674</v>
      </c>
      <c r="B90" t="s">
        <v>1675</v>
      </c>
      <c r="C90" t="s">
        <v>1676</v>
      </c>
      <c r="D90" t="s">
        <v>1297</v>
      </c>
      <c r="F90">
        <v>429</v>
      </c>
      <c r="J90">
        <v>1</v>
      </c>
      <c r="K90">
        <v>1</v>
      </c>
      <c r="L90" t="s">
        <v>1677</v>
      </c>
      <c r="M90" t="s">
        <v>1678</v>
      </c>
      <c r="N90" t="s">
        <v>876</v>
      </c>
      <c r="O90" t="s">
        <v>667</v>
      </c>
      <c r="P90" t="s">
        <v>1522</v>
      </c>
      <c r="T90">
        <v>87.687049119999998</v>
      </c>
      <c r="U90">
        <v>59.106726330000001</v>
      </c>
      <c r="V90">
        <v>151.9012576854735</v>
      </c>
      <c r="W90">
        <v>66.138542452242817</v>
      </c>
      <c r="X90">
        <v>0.20386975041943317</v>
      </c>
      <c r="Y90">
        <v>0.25462273991887191</v>
      </c>
    </row>
    <row r="91" spans="1:25" x14ac:dyDescent="0.2">
      <c r="A91" s="60" t="s">
        <v>1679</v>
      </c>
      <c r="B91" t="s">
        <v>1680</v>
      </c>
      <c r="C91" t="s">
        <v>1681</v>
      </c>
      <c r="D91" t="s">
        <v>1394</v>
      </c>
      <c r="F91">
        <v>430</v>
      </c>
      <c r="J91">
        <v>1</v>
      </c>
      <c r="L91" t="s">
        <v>1682</v>
      </c>
      <c r="M91" t="s">
        <v>1683</v>
      </c>
      <c r="N91" t="s">
        <v>876</v>
      </c>
      <c r="O91" t="s">
        <v>1032</v>
      </c>
      <c r="P91" t="s">
        <v>1033</v>
      </c>
      <c r="T91">
        <v>60.516301859999999</v>
      </c>
      <c r="U91">
        <v>63.872790129999998</v>
      </c>
      <c r="V91">
        <v>86.023198025123108</v>
      </c>
      <c r="W91">
        <v>71.557920566115243</v>
      </c>
      <c r="X91">
        <v>0.29985826601169813</v>
      </c>
      <c r="Y91">
        <v>0.34286632952346491</v>
      </c>
    </row>
    <row r="92" spans="1:25" x14ac:dyDescent="0.2">
      <c r="A92" s="60" t="s">
        <v>1684</v>
      </c>
      <c r="B92" t="s">
        <v>1685</v>
      </c>
      <c r="C92" t="s">
        <v>1686</v>
      </c>
      <c r="D92" t="s">
        <v>1517</v>
      </c>
      <c r="F92">
        <v>431</v>
      </c>
      <c r="J92">
        <v>1</v>
      </c>
      <c r="L92" t="s">
        <v>876</v>
      </c>
      <c r="M92" t="s">
        <v>876</v>
      </c>
      <c r="N92" t="s">
        <v>876</v>
      </c>
      <c r="O92" t="s">
        <v>876</v>
      </c>
      <c r="P92" t="s">
        <v>876</v>
      </c>
    </row>
    <row r="93" spans="1:25" x14ac:dyDescent="0.2">
      <c r="A93" s="60" t="s">
        <v>1687</v>
      </c>
      <c r="B93" t="s">
        <v>1688</v>
      </c>
      <c r="C93" t="s">
        <v>1689</v>
      </c>
      <c r="D93" t="s">
        <v>1297</v>
      </c>
      <c r="F93">
        <v>432</v>
      </c>
      <c r="J93">
        <v>1</v>
      </c>
      <c r="L93" t="s">
        <v>1690</v>
      </c>
      <c r="M93" t="s">
        <v>993</v>
      </c>
      <c r="N93" t="s">
        <v>876</v>
      </c>
      <c r="O93" t="s">
        <v>1032</v>
      </c>
      <c r="P93" t="s">
        <v>1033</v>
      </c>
      <c r="Q93">
        <v>1</v>
      </c>
      <c r="T93" t="s">
        <v>0</v>
      </c>
      <c r="U93">
        <v>57.751277799999997</v>
      </c>
      <c r="V93" t="s">
        <v>0</v>
      </c>
      <c r="W93">
        <v>64.967016390212706</v>
      </c>
      <c r="X93">
        <v>0.16831302138938203</v>
      </c>
      <c r="Y93">
        <v>0.20548648368027475</v>
      </c>
    </row>
    <row r="94" spans="1:25" x14ac:dyDescent="0.2">
      <c r="A94" s="60" t="s">
        <v>1691</v>
      </c>
      <c r="B94" t="s">
        <v>1692</v>
      </c>
      <c r="C94" t="s">
        <v>1693</v>
      </c>
      <c r="D94" t="s">
        <v>1307</v>
      </c>
      <c r="F94">
        <v>443</v>
      </c>
      <c r="J94">
        <v>1</v>
      </c>
      <c r="L94" t="s">
        <v>1694</v>
      </c>
      <c r="M94" t="s">
        <v>1695</v>
      </c>
      <c r="N94" t="s">
        <v>876</v>
      </c>
      <c r="O94" t="s">
        <v>1032</v>
      </c>
      <c r="P94" t="s">
        <v>1033</v>
      </c>
      <c r="T94">
        <v>10000</v>
      </c>
      <c r="U94">
        <v>10000</v>
      </c>
      <c r="V94">
        <v>10000</v>
      </c>
      <c r="W94">
        <v>10000</v>
      </c>
      <c r="X94">
        <v>0.1562499943210055</v>
      </c>
      <c r="Y94">
        <v>0.19270832548183328</v>
      </c>
    </row>
    <row r="95" spans="1:25" x14ac:dyDescent="0.2">
      <c r="A95" s="60" t="s">
        <v>1696</v>
      </c>
      <c r="B95" t="s">
        <v>1697</v>
      </c>
      <c r="C95" t="s">
        <v>1698</v>
      </c>
      <c r="D95" t="s">
        <v>1699</v>
      </c>
      <c r="F95">
        <v>444</v>
      </c>
      <c r="J95">
        <v>1</v>
      </c>
      <c r="L95" t="s">
        <v>876</v>
      </c>
      <c r="M95" t="s">
        <v>876</v>
      </c>
      <c r="N95" t="s">
        <v>876</v>
      </c>
      <c r="O95" t="s">
        <v>876</v>
      </c>
      <c r="P95" t="s">
        <v>876</v>
      </c>
    </row>
    <row r="96" spans="1:25" x14ac:dyDescent="0.2">
      <c r="A96" s="60" t="s">
        <v>1700</v>
      </c>
      <c r="B96" t="s">
        <v>1701</v>
      </c>
      <c r="C96" t="s">
        <v>1702</v>
      </c>
      <c r="D96" t="s">
        <v>1318</v>
      </c>
      <c r="F96">
        <v>445</v>
      </c>
      <c r="J96">
        <v>1</v>
      </c>
      <c r="L96" t="s">
        <v>1703</v>
      </c>
      <c r="M96" t="s">
        <v>1704</v>
      </c>
      <c r="N96" t="s">
        <v>876</v>
      </c>
      <c r="O96" t="s">
        <v>1032</v>
      </c>
      <c r="P96" t="s">
        <v>1033</v>
      </c>
      <c r="T96">
        <v>63.140875190000003</v>
      </c>
      <c r="U96">
        <v>9.2736657820000001</v>
      </c>
      <c r="V96">
        <v>70.821842056388306</v>
      </c>
      <c r="W96">
        <v>31.429359623015557</v>
      </c>
      <c r="X96">
        <v>7.8086422629661895E-2</v>
      </c>
      <c r="Y96">
        <v>0.50592859866493556</v>
      </c>
    </row>
    <row r="97" spans="1:25" x14ac:dyDescent="0.2">
      <c r="A97" s="60" t="s">
        <v>1705</v>
      </c>
      <c r="B97" t="s">
        <v>1706</v>
      </c>
      <c r="C97" t="s">
        <v>1707</v>
      </c>
      <c r="D97" t="s">
        <v>1307</v>
      </c>
      <c r="F97">
        <v>447</v>
      </c>
      <c r="J97">
        <v>1</v>
      </c>
      <c r="L97" t="s">
        <v>1708</v>
      </c>
      <c r="M97" t="s">
        <v>1709</v>
      </c>
      <c r="N97" t="s">
        <v>876</v>
      </c>
      <c r="O97" t="s">
        <v>1032</v>
      </c>
      <c r="P97" t="s">
        <v>1033</v>
      </c>
      <c r="T97">
        <v>63.682667379999998</v>
      </c>
      <c r="U97">
        <v>61.98914851</v>
      </c>
      <c r="V97">
        <v>71.379847636101431</v>
      </c>
      <c r="W97">
        <v>89.612363927140706</v>
      </c>
      <c r="X97">
        <v>9.5322147655759068E-2</v>
      </c>
      <c r="Y97">
        <v>0.12803062964091505</v>
      </c>
    </row>
    <row r="98" spans="1:25" x14ac:dyDescent="0.2">
      <c r="A98" s="60" t="s">
        <v>1710</v>
      </c>
      <c r="B98" t="s">
        <v>1711</v>
      </c>
      <c r="C98" t="s">
        <v>1712</v>
      </c>
      <c r="D98" t="s">
        <v>1297</v>
      </c>
      <c r="F98">
        <v>448</v>
      </c>
      <c r="J98">
        <v>1</v>
      </c>
      <c r="L98" t="s">
        <v>1713</v>
      </c>
      <c r="M98" t="s">
        <v>1714</v>
      </c>
      <c r="N98" t="s">
        <v>876</v>
      </c>
      <c r="O98" t="s">
        <v>1032</v>
      </c>
      <c r="P98" t="s">
        <v>1033</v>
      </c>
      <c r="S98">
        <v>1</v>
      </c>
      <c r="T98">
        <v>10000</v>
      </c>
      <c r="U98">
        <v>10000</v>
      </c>
      <c r="V98">
        <v>10000</v>
      </c>
      <c r="W98">
        <v>10000</v>
      </c>
      <c r="X98">
        <v>6.3268814470647736E-2</v>
      </c>
      <c r="Y98">
        <v>8.3333316481567402E-2</v>
      </c>
    </row>
    <row r="99" spans="1:25" x14ac:dyDescent="0.2">
      <c r="A99" s="60" t="s">
        <v>1715</v>
      </c>
      <c r="B99" t="s">
        <v>1716</v>
      </c>
      <c r="C99" t="s">
        <v>1717</v>
      </c>
      <c r="D99" t="s">
        <v>1297</v>
      </c>
      <c r="F99">
        <v>449</v>
      </c>
      <c r="J99">
        <v>1</v>
      </c>
      <c r="L99" t="s">
        <v>1718</v>
      </c>
      <c r="M99" t="s">
        <v>1719</v>
      </c>
      <c r="N99" t="s">
        <v>876</v>
      </c>
      <c r="O99" t="s">
        <v>1032</v>
      </c>
      <c r="P99" t="s">
        <v>1033</v>
      </c>
      <c r="T99">
        <v>10000</v>
      </c>
      <c r="U99">
        <v>10000</v>
      </c>
      <c r="V99">
        <v>10000</v>
      </c>
      <c r="W99">
        <v>10000</v>
      </c>
      <c r="X99">
        <v>0.14583310310494682</v>
      </c>
      <c r="Y99">
        <v>0.21153263803733829</v>
      </c>
    </row>
    <row r="100" spans="1:25" x14ac:dyDescent="0.2">
      <c r="A100" s="60" t="s">
        <v>1720</v>
      </c>
      <c r="B100" t="s">
        <v>1721</v>
      </c>
      <c r="C100" t="s">
        <v>1722</v>
      </c>
      <c r="D100" t="s">
        <v>1297</v>
      </c>
      <c r="F100">
        <v>450</v>
      </c>
      <c r="J100">
        <v>1</v>
      </c>
      <c r="L100" t="s">
        <v>1723</v>
      </c>
      <c r="M100" t="s">
        <v>1724</v>
      </c>
      <c r="N100" t="s">
        <v>876</v>
      </c>
      <c r="O100" t="s">
        <v>667</v>
      </c>
      <c r="P100" t="s">
        <v>1438</v>
      </c>
      <c r="T100">
        <v>0.476718062</v>
      </c>
      <c r="U100">
        <v>30.189399399999999</v>
      </c>
      <c r="V100">
        <v>10000</v>
      </c>
      <c r="W100">
        <v>66.130427512872302</v>
      </c>
      <c r="X100">
        <v>0.1898588216453749</v>
      </c>
      <c r="Y100">
        <v>0.25503331141920993</v>
      </c>
    </row>
    <row r="101" spans="1:25" x14ac:dyDescent="0.2">
      <c r="A101" s="60" t="s">
        <v>1725</v>
      </c>
      <c r="B101" t="s">
        <v>1726</v>
      </c>
      <c r="C101" t="s">
        <v>1727</v>
      </c>
      <c r="D101" t="s">
        <v>1297</v>
      </c>
      <c r="F101">
        <v>462</v>
      </c>
      <c r="J101">
        <v>1</v>
      </c>
      <c r="K101">
        <v>1</v>
      </c>
      <c r="L101" t="s">
        <v>1728</v>
      </c>
      <c r="M101" t="s">
        <v>1729</v>
      </c>
      <c r="N101" t="s">
        <v>876</v>
      </c>
      <c r="O101" t="s">
        <v>1032</v>
      </c>
      <c r="P101" t="s">
        <v>1033</v>
      </c>
      <c r="T101">
        <v>5.7731332389999999</v>
      </c>
      <c r="U101">
        <v>4.165243416</v>
      </c>
      <c r="V101">
        <v>10000</v>
      </c>
      <c r="W101">
        <v>5.6102928995353452</v>
      </c>
      <c r="X101">
        <v>0.29637543215898965</v>
      </c>
      <c r="Y101">
        <v>0.3601631432138569</v>
      </c>
    </row>
    <row r="102" spans="1:25" x14ac:dyDescent="0.2">
      <c r="A102" s="60" t="s">
        <v>1730</v>
      </c>
      <c r="B102" t="s">
        <v>1731</v>
      </c>
      <c r="C102" t="s">
        <v>1732</v>
      </c>
      <c r="D102" t="s">
        <v>1365</v>
      </c>
      <c r="F102">
        <v>463</v>
      </c>
      <c r="J102">
        <v>1</v>
      </c>
      <c r="L102" t="s">
        <v>1733</v>
      </c>
      <c r="M102" t="s">
        <v>1734</v>
      </c>
      <c r="N102" t="s">
        <v>876</v>
      </c>
      <c r="O102" t="s">
        <v>667</v>
      </c>
      <c r="P102" t="s">
        <v>1438</v>
      </c>
      <c r="Q102">
        <v>1</v>
      </c>
      <c r="S102">
        <v>1</v>
      </c>
      <c r="T102">
        <v>6.0844944510000003</v>
      </c>
      <c r="U102">
        <v>6.3929715319999998</v>
      </c>
      <c r="V102">
        <v>8.1024743062249343</v>
      </c>
      <c r="W102">
        <v>7.1732880179724949</v>
      </c>
      <c r="X102">
        <v>0.86920710587962557</v>
      </c>
      <c r="Y102">
        <v>0.8724863627081203</v>
      </c>
    </row>
    <row r="103" spans="1:25" x14ac:dyDescent="0.2">
      <c r="A103" s="60" t="s">
        <v>1735</v>
      </c>
      <c r="B103" t="s">
        <v>1736</v>
      </c>
      <c r="C103" t="s">
        <v>1737</v>
      </c>
      <c r="D103" t="s">
        <v>1394</v>
      </c>
      <c r="F103">
        <v>465</v>
      </c>
      <c r="J103">
        <v>1</v>
      </c>
      <c r="L103" t="s">
        <v>1738</v>
      </c>
      <c r="M103" t="s">
        <v>1739</v>
      </c>
      <c r="N103" t="s">
        <v>876</v>
      </c>
      <c r="O103" t="s">
        <v>1032</v>
      </c>
      <c r="P103" t="s">
        <v>1033</v>
      </c>
      <c r="T103" t="s">
        <v>0</v>
      </c>
      <c r="U103" t="s">
        <v>0</v>
      </c>
      <c r="V103" t="s">
        <v>0</v>
      </c>
      <c r="W103" t="s">
        <v>0</v>
      </c>
      <c r="X103">
        <v>7.1777349334543092E-2</v>
      </c>
      <c r="Y103">
        <v>0.10311164583412012</v>
      </c>
    </row>
    <row r="104" spans="1:25" x14ac:dyDescent="0.2">
      <c r="A104" s="60" t="s">
        <v>1740</v>
      </c>
      <c r="B104" t="s">
        <v>1741</v>
      </c>
      <c r="C104" t="s">
        <v>1742</v>
      </c>
      <c r="D104" t="s">
        <v>1297</v>
      </c>
      <c r="F104">
        <v>466</v>
      </c>
      <c r="J104">
        <v>1</v>
      </c>
      <c r="L104" t="s">
        <v>1743</v>
      </c>
      <c r="M104" t="s">
        <v>1744</v>
      </c>
      <c r="N104" t="s">
        <v>876</v>
      </c>
      <c r="O104" t="s">
        <v>1032</v>
      </c>
      <c r="P104" t="s">
        <v>1033</v>
      </c>
      <c r="Q104">
        <v>1</v>
      </c>
      <c r="S104">
        <v>1</v>
      </c>
      <c r="T104">
        <v>96.189878429999993</v>
      </c>
      <c r="U104">
        <v>10000</v>
      </c>
      <c r="V104">
        <v>167.64171102397742</v>
      </c>
      <c r="W104">
        <v>10000</v>
      </c>
      <c r="X104">
        <v>5.1798396579338796E-2</v>
      </c>
      <c r="Y104">
        <v>7.8124992709374022E-2</v>
      </c>
    </row>
    <row r="105" spans="1:25" x14ac:dyDescent="0.2">
      <c r="A105" s="60" t="s">
        <v>1745</v>
      </c>
      <c r="B105" t="s">
        <v>1746</v>
      </c>
      <c r="C105" t="s">
        <v>1747</v>
      </c>
      <c r="D105" t="s">
        <v>1318</v>
      </c>
      <c r="F105">
        <v>470</v>
      </c>
      <c r="J105">
        <v>1</v>
      </c>
      <c r="L105" t="s">
        <v>1748</v>
      </c>
      <c r="M105" t="s">
        <v>1749</v>
      </c>
      <c r="N105" t="s">
        <v>876</v>
      </c>
      <c r="O105" t="s">
        <v>1032</v>
      </c>
      <c r="P105" t="s">
        <v>1033</v>
      </c>
      <c r="T105">
        <v>10000</v>
      </c>
      <c r="U105">
        <v>47.846901529999997</v>
      </c>
      <c r="V105">
        <v>10000</v>
      </c>
      <c r="W105">
        <v>111.51623832746793</v>
      </c>
      <c r="X105">
        <v>2.5806390134245183E-2</v>
      </c>
      <c r="Y105">
        <v>0.15419946519714967</v>
      </c>
    </row>
    <row r="106" spans="1:25" x14ac:dyDescent="0.2">
      <c r="A106" s="60" t="s">
        <v>1750</v>
      </c>
      <c r="B106" t="s">
        <v>1751</v>
      </c>
      <c r="C106" t="s">
        <v>1752</v>
      </c>
      <c r="D106" t="s">
        <v>1375</v>
      </c>
      <c r="F106">
        <v>471</v>
      </c>
      <c r="J106">
        <v>1</v>
      </c>
      <c r="L106" t="s">
        <v>876</v>
      </c>
      <c r="M106" t="s">
        <v>876</v>
      </c>
      <c r="N106" t="s">
        <v>876</v>
      </c>
      <c r="O106" t="s">
        <v>876</v>
      </c>
      <c r="P106" t="s">
        <v>876</v>
      </c>
    </row>
    <row r="107" spans="1:25" x14ac:dyDescent="0.2">
      <c r="A107" s="60" t="s">
        <v>885</v>
      </c>
      <c r="B107" t="s">
        <v>1753</v>
      </c>
      <c r="C107" t="s">
        <v>1754</v>
      </c>
      <c r="D107" t="s">
        <v>1297</v>
      </c>
      <c r="F107">
        <v>472</v>
      </c>
      <c r="J107">
        <v>1</v>
      </c>
      <c r="L107" t="s">
        <v>1755</v>
      </c>
      <c r="M107" t="s">
        <v>1756</v>
      </c>
      <c r="N107" t="s">
        <v>876</v>
      </c>
      <c r="O107" t="s">
        <v>1032</v>
      </c>
      <c r="P107" t="s">
        <v>1033</v>
      </c>
      <c r="Q107">
        <v>1</v>
      </c>
      <c r="R107">
        <v>1</v>
      </c>
      <c r="S107">
        <v>1</v>
      </c>
      <c r="T107" t="s">
        <v>0</v>
      </c>
      <c r="U107" t="s">
        <v>0</v>
      </c>
      <c r="V107" t="s">
        <v>0</v>
      </c>
      <c r="W107" t="s">
        <v>0</v>
      </c>
      <c r="X107">
        <v>0.14073373859044161</v>
      </c>
      <c r="Y107">
        <v>0.16087740556186184</v>
      </c>
    </row>
    <row r="108" spans="1:25" x14ac:dyDescent="0.2">
      <c r="A108" s="60" t="s">
        <v>1757</v>
      </c>
      <c r="B108" t="s">
        <v>1758</v>
      </c>
      <c r="C108" t="s">
        <v>1759</v>
      </c>
      <c r="D108" t="s">
        <v>1517</v>
      </c>
      <c r="F108">
        <v>473</v>
      </c>
      <c r="J108">
        <v>1</v>
      </c>
      <c r="L108" t="s">
        <v>876</v>
      </c>
      <c r="M108" t="s">
        <v>876</v>
      </c>
      <c r="N108" t="s">
        <v>876</v>
      </c>
      <c r="O108" t="s">
        <v>876</v>
      </c>
      <c r="P108" t="s">
        <v>876</v>
      </c>
    </row>
    <row r="109" spans="1:25" x14ac:dyDescent="0.2">
      <c r="A109" s="60" t="s">
        <v>1760</v>
      </c>
      <c r="B109" t="s">
        <v>1761</v>
      </c>
      <c r="C109" t="s">
        <v>1762</v>
      </c>
      <c r="D109" t="s">
        <v>1517</v>
      </c>
      <c r="F109">
        <v>479</v>
      </c>
      <c r="J109">
        <v>1</v>
      </c>
      <c r="L109" t="s">
        <v>876</v>
      </c>
      <c r="M109" t="s">
        <v>876</v>
      </c>
      <c r="N109" t="s">
        <v>876</v>
      </c>
      <c r="O109" t="s">
        <v>876</v>
      </c>
      <c r="P109" t="s">
        <v>876</v>
      </c>
    </row>
    <row r="110" spans="1:25" x14ac:dyDescent="0.2">
      <c r="A110" s="60" t="s">
        <v>1763</v>
      </c>
      <c r="B110" t="s">
        <v>1764</v>
      </c>
      <c r="C110" t="s">
        <v>1765</v>
      </c>
      <c r="D110" t="s">
        <v>1307</v>
      </c>
      <c r="F110">
        <v>480</v>
      </c>
      <c r="J110">
        <v>1</v>
      </c>
      <c r="L110" t="s">
        <v>1766</v>
      </c>
      <c r="M110" t="s">
        <v>1767</v>
      </c>
      <c r="N110" t="s">
        <v>876</v>
      </c>
      <c r="O110" t="s">
        <v>1032</v>
      </c>
      <c r="P110" t="s">
        <v>1033</v>
      </c>
      <c r="Q110">
        <v>1</v>
      </c>
      <c r="S110">
        <v>1</v>
      </c>
      <c r="T110">
        <v>71.561608039999996</v>
      </c>
      <c r="U110">
        <v>63.738656509999998</v>
      </c>
      <c r="V110">
        <v>79.837038708125107</v>
      </c>
      <c r="W110">
        <v>70.841736281684149</v>
      </c>
      <c r="X110">
        <v>0.11922415329408514</v>
      </c>
      <c r="Y110">
        <v>0.2004948124147074</v>
      </c>
    </row>
    <row r="111" spans="1:25" x14ac:dyDescent="0.2">
      <c r="A111" s="60" t="s">
        <v>1768</v>
      </c>
      <c r="B111" t="s">
        <v>1769</v>
      </c>
      <c r="C111" t="s">
        <v>1770</v>
      </c>
      <c r="D111" t="s">
        <v>1307</v>
      </c>
      <c r="F111">
        <v>484</v>
      </c>
      <c r="J111">
        <v>1</v>
      </c>
      <c r="L111" t="s">
        <v>1771</v>
      </c>
      <c r="M111" t="s">
        <v>1772</v>
      </c>
      <c r="N111" t="s">
        <v>876</v>
      </c>
      <c r="O111" t="s">
        <v>1032</v>
      </c>
      <c r="P111" t="s">
        <v>1033</v>
      </c>
      <c r="T111">
        <v>10000</v>
      </c>
      <c r="U111">
        <v>57.623453670000004</v>
      </c>
      <c r="V111">
        <v>10000</v>
      </c>
      <c r="W111">
        <v>64.851475233804535</v>
      </c>
      <c r="X111">
        <v>0.16666665968359767</v>
      </c>
      <c r="Y111">
        <v>0.24829581008469059</v>
      </c>
    </row>
    <row r="112" spans="1:25" x14ac:dyDescent="0.2">
      <c r="A112" s="60" t="s">
        <v>1773</v>
      </c>
      <c r="B112" t="s">
        <v>1774</v>
      </c>
      <c r="C112" t="s">
        <v>1775</v>
      </c>
      <c r="D112" t="s">
        <v>1375</v>
      </c>
      <c r="F112">
        <v>512</v>
      </c>
      <c r="J112">
        <v>1</v>
      </c>
      <c r="L112" t="s">
        <v>876</v>
      </c>
      <c r="M112" t="s">
        <v>876</v>
      </c>
      <c r="N112" t="s">
        <v>876</v>
      </c>
      <c r="O112" t="s">
        <v>876</v>
      </c>
      <c r="P112" t="s">
        <v>876</v>
      </c>
    </row>
    <row r="113" spans="1:25" x14ac:dyDescent="0.2">
      <c r="A113" s="60" t="s">
        <v>1776</v>
      </c>
      <c r="B113" t="s">
        <v>1777</v>
      </c>
      <c r="C113" t="s">
        <v>1778</v>
      </c>
      <c r="D113" t="s">
        <v>1375</v>
      </c>
      <c r="F113">
        <v>521</v>
      </c>
      <c r="J113">
        <v>1</v>
      </c>
      <c r="L113" t="s">
        <v>876</v>
      </c>
      <c r="M113" t="s">
        <v>876</v>
      </c>
      <c r="N113" t="s">
        <v>876</v>
      </c>
      <c r="O113" t="s">
        <v>876</v>
      </c>
      <c r="P113" t="s">
        <v>876</v>
      </c>
    </row>
    <row r="114" spans="1:25" x14ac:dyDescent="0.2">
      <c r="A114" s="60" t="s">
        <v>1779</v>
      </c>
      <c r="B114" t="s">
        <v>1780</v>
      </c>
      <c r="C114" t="s">
        <v>1781</v>
      </c>
      <c r="D114" t="s">
        <v>1318</v>
      </c>
      <c r="F114">
        <v>531</v>
      </c>
      <c r="J114">
        <v>1</v>
      </c>
      <c r="L114" t="s">
        <v>1782</v>
      </c>
      <c r="M114" t="s">
        <v>1783</v>
      </c>
      <c r="N114" t="s">
        <v>876</v>
      </c>
      <c r="O114" t="s">
        <v>667</v>
      </c>
      <c r="P114" t="s">
        <v>1522</v>
      </c>
      <c r="Q114">
        <v>1</v>
      </c>
      <c r="T114">
        <v>59.69863428</v>
      </c>
      <c r="U114">
        <v>1.90315959</v>
      </c>
      <c r="V114">
        <v>67.083305618710867</v>
      </c>
      <c r="W114">
        <v>7.6071912207716696</v>
      </c>
      <c r="X114">
        <v>0.17676175422933799</v>
      </c>
      <c r="Y114">
        <v>0.87795295429679832</v>
      </c>
    </row>
    <row r="115" spans="1:25" x14ac:dyDescent="0.2">
      <c r="A115" s="60" t="s">
        <v>1784</v>
      </c>
      <c r="B115" t="s">
        <v>1785</v>
      </c>
      <c r="C115" t="s">
        <v>1786</v>
      </c>
      <c r="D115" t="s">
        <v>1375</v>
      </c>
      <c r="F115">
        <v>538</v>
      </c>
      <c r="J115">
        <v>1</v>
      </c>
      <c r="L115" t="s">
        <v>876</v>
      </c>
      <c r="M115" t="s">
        <v>876</v>
      </c>
      <c r="N115" t="s">
        <v>876</v>
      </c>
      <c r="O115" t="s">
        <v>876</v>
      </c>
      <c r="P115" t="s">
        <v>876</v>
      </c>
    </row>
    <row r="116" spans="1:25" x14ac:dyDescent="0.2">
      <c r="A116" s="60" t="s">
        <v>1787</v>
      </c>
      <c r="B116" t="s">
        <v>1788</v>
      </c>
      <c r="C116" t="s">
        <v>1789</v>
      </c>
      <c r="D116" t="s">
        <v>1307</v>
      </c>
      <c r="F116">
        <v>540</v>
      </c>
      <c r="J116">
        <v>1</v>
      </c>
      <c r="L116" t="s">
        <v>1790</v>
      </c>
      <c r="M116" t="s">
        <v>1791</v>
      </c>
      <c r="N116" t="s">
        <v>876</v>
      </c>
      <c r="O116" t="s">
        <v>1032</v>
      </c>
      <c r="P116" t="s">
        <v>1033</v>
      </c>
      <c r="T116" t="s">
        <v>0</v>
      </c>
      <c r="U116">
        <v>22.590981800000002</v>
      </c>
      <c r="V116" t="s">
        <v>0</v>
      </c>
      <c r="W116">
        <v>245.28211998982061</v>
      </c>
      <c r="X116">
        <v>0.13484817279615596</v>
      </c>
      <c r="Y116">
        <v>0.28053543515688451</v>
      </c>
    </row>
    <row r="117" spans="1:25" x14ac:dyDescent="0.2">
      <c r="A117" s="60" t="s">
        <v>1792</v>
      </c>
      <c r="B117" t="s">
        <v>1793</v>
      </c>
      <c r="C117" t="s">
        <v>1794</v>
      </c>
      <c r="D117" t="s">
        <v>1297</v>
      </c>
      <c r="F117">
        <v>550</v>
      </c>
      <c r="J117">
        <v>1</v>
      </c>
      <c r="L117" t="s">
        <v>1795</v>
      </c>
      <c r="M117" t="s">
        <v>1796</v>
      </c>
      <c r="N117" t="s">
        <v>876</v>
      </c>
      <c r="O117" t="s">
        <v>1032</v>
      </c>
      <c r="P117" t="s">
        <v>1033</v>
      </c>
      <c r="Q117">
        <v>1</v>
      </c>
      <c r="T117">
        <v>49.991393889999998</v>
      </c>
      <c r="U117">
        <v>14.69737675</v>
      </c>
      <c r="V117">
        <v>71.662738430640957</v>
      </c>
      <c r="W117">
        <v>18.408575995672784</v>
      </c>
      <c r="X117">
        <v>0.11114959852636815</v>
      </c>
      <c r="Y117">
        <v>0.72649048719182185</v>
      </c>
    </row>
    <row r="118" spans="1:25" x14ac:dyDescent="0.2">
      <c r="A118" s="60" t="s">
        <v>1797</v>
      </c>
      <c r="B118" t="s">
        <v>1798</v>
      </c>
      <c r="C118" t="s">
        <v>1799</v>
      </c>
      <c r="D118" t="s">
        <v>1514</v>
      </c>
      <c r="F118">
        <v>557</v>
      </c>
      <c r="J118">
        <v>1</v>
      </c>
      <c r="L118" t="s">
        <v>876</v>
      </c>
      <c r="M118" t="s">
        <v>876</v>
      </c>
      <c r="N118" t="s">
        <v>876</v>
      </c>
      <c r="O118" t="s">
        <v>876</v>
      </c>
      <c r="P118" t="s">
        <v>876</v>
      </c>
    </row>
    <row r="119" spans="1:25" x14ac:dyDescent="0.2">
      <c r="A119" s="60" t="s">
        <v>1800</v>
      </c>
      <c r="B119" t="s">
        <v>1801</v>
      </c>
      <c r="C119" t="s">
        <v>1802</v>
      </c>
      <c r="D119" t="s">
        <v>1375</v>
      </c>
      <c r="F119">
        <v>565</v>
      </c>
      <c r="J119">
        <v>1</v>
      </c>
      <c r="L119" t="s">
        <v>876</v>
      </c>
      <c r="M119" t="s">
        <v>876</v>
      </c>
      <c r="N119" t="s">
        <v>876</v>
      </c>
      <c r="O119" t="s">
        <v>876</v>
      </c>
      <c r="P119" t="s">
        <v>876</v>
      </c>
    </row>
    <row r="120" spans="1:25" x14ac:dyDescent="0.2">
      <c r="A120" s="60" t="s">
        <v>1803</v>
      </c>
      <c r="B120" t="s">
        <v>1804</v>
      </c>
      <c r="C120" t="s">
        <v>1805</v>
      </c>
      <c r="D120" t="s">
        <v>1297</v>
      </c>
      <c r="F120">
        <v>566</v>
      </c>
      <c r="J120">
        <v>1</v>
      </c>
      <c r="L120" t="s">
        <v>1806</v>
      </c>
      <c r="M120" t="s">
        <v>1807</v>
      </c>
      <c r="N120" t="s">
        <v>876</v>
      </c>
      <c r="O120" t="s">
        <v>1032</v>
      </c>
      <c r="P120" t="s">
        <v>1033</v>
      </c>
      <c r="T120">
        <v>101.1258452</v>
      </c>
      <c r="U120">
        <v>1.4244264099999999</v>
      </c>
      <c r="V120">
        <v>10000</v>
      </c>
      <c r="W120">
        <v>8.8640116730224623</v>
      </c>
      <c r="X120">
        <v>0.11540314512922141</v>
      </c>
      <c r="Y120">
        <v>0.82862970377214795</v>
      </c>
    </row>
    <row r="121" spans="1:25" x14ac:dyDescent="0.2">
      <c r="A121" s="60" t="s">
        <v>1808</v>
      </c>
      <c r="B121" t="s">
        <v>1809</v>
      </c>
      <c r="C121" t="s">
        <v>1810</v>
      </c>
      <c r="D121" t="s">
        <v>1297</v>
      </c>
      <c r="F121">
        <v>567</v>
      </c>
      <c r="J121">
        <v>1</v>
      </c>
      <c r="L121" t="s">
        <v>1811</v>
      </c>
      <c r="M121" t="s">
        <v>1812</v>
      </c>
      <c r="N121" t="s">
        <v>876</v>
      </c>
      <c r="O121" t="s">
        <v>667</v>
      </c>
      <c r="P121" t="s">
        <v>1522</v>
      </c>
      <c r="Q121">
        <v>1</v>
      </c>
      <c r="S121">
        <v>1</v>
      </c>
      <c r="T121" t="s">
        <v>0</v>
      </c>
      <c r="U121">
        <v>6.7181871620000004</v>
      </c>
      <c r="V121" t="s">
        <v>0</v>
      </c>
      <c r="W121">
        <v>10000</v>
      </c>
      <c r="X121">
        <v>0.17872915893050473</v>
      </c>
      <c r="Y121">
        <v>0.28366134748329425</v>
      </c>
    </row>
    <row r="122" spans="1:25" x14ac:dyDescent="0.2">
      <c r="A122" s="60" t="s">
        <v>1813</v>
      </c>
      <c r="B122" t="s">
        <v>1814</v>
      </c>
      <c r="C122" t="s">
        <v>1815</v>
      </c>
      <c r="D122" t="s">
        <v>1375</v>
      </c>
      <c r="F122">
        <v>574</v>
      </c>
      <c r="J122">
        <v>1</v>
      </c>
      <c r="L122" t="s">
        <v>876</v>
      </c>
      <c r="M122" t="s">
        <v>876</v>
      </c>
      <c r="N122" t="s">
        <v>876</v>
      </c>
      <c r="O122" t="s">
        <v>876</v>
      </c>
      <c r="P122" t="s">
        <v>876</v>
      </c>
    </row>
    <row r="123" spans="1:25" x14ac:dyDescent="0.2">
      <c r="A123" s="60" t="s">
        <v>1816</v>
      </c>
      <c r="B123" t="s">
        <v>1817</v>
      </c>
      <c r="C123" t="s">
        <v>1818</v>
      </c>
      <c r="D123" t="s">
        <v>1297</v>
      </c>
      <c r="F123">
        <v>594</v>
      </c>
      <c r="J123">
        <v>1</v>
      </c>
      <c r="L123" t="s">
        <v>1819</v>
      </c>
      <c r="M123" t="s">
        <v>1820</v>
      </c>
      <c r="N123" t="s">
        <v>876</v>
      </c>
      <c r="O123" t="s">
        <v>1032</v>
      </c>
      <c r="P123" t="s">
        <v>1033</v>
      </c>
      <c r="T123">
        <v>64.183540980000004</v>
      </c>
      <c r="U123">
        <v>66.016696640000006</v>
      </c>
      <c r="V123">
        <v>92.730791663824931</v>
      </c>
      <c r="W123">
        <v>95.354457427053973</v>
      </c>
      <c r="X123">
        <v>0.24819623851990133</v>
      </c>
      <c r="Y123">
        <v>0.2587496024688376</v>
      </c>
    </row>
    <row r="124" spans="1:25" x14ac:dyDescent="0.2">
      <c r="A124" s="60" t="s">
        <v>1821</v>
      </c>
      <c r="B124" t="s">
        <v>1822</v>
      </c>
      <c r="C124" t="s">
        <v>1823</v>
      </c>
      <c r="D124" t="s">
        <v>1297</v>
      </c>
      <c r="F124">
        <v>603</v>
      </c>
      <c r="J124">
        <v>1</v>
      </c>
      <c r="L124" t="s">
        <v>1824</v>
      </c>
      <c r="M124" t="s">
        <v>1825</v>
      </c>
      <c r="N124" t="s">
        <v>876</v>
      </c>
      <c r="O124" t="s">
        <v>1032</v>
      </c>
      <c r="P124" t="s">
        <v>1033</v>
      </c>
      <c r="T124">
        <v>10000</v>
      </c>
      <c r="U124">
        <v>153.6755272</v>
      </c>
      <c r="V124">
        <v>10000</v>
      </c>
      <c r="W124">
        <v>10000</v>
      </c>
      <c r="X124">
        <v>0.13157893910688703</v>
      </c>
      <c r="Y124">
        <v>0.19916666431755017</v>
      </c>
    </row>
    <row r="125" spans="1:25" x14ac:dyDescent="0.2">
      <c r="A125" s="60" t="s">
        <v>1826</v>
      </c>
      <c r="B125" t="s">
        <v>1827</v>
      </c>
      <c r="C125" t="s">
        <v>1828</v>
      </c>
      <c r="D125" t="s">
        <v>1307</v>
      </c>
      <c r="F125">
        <v>611</v>
      </c>
      <c r="J125">
        <v>1</v>
      </c>
      <c r="L125" t="s">
        <v>1829</v>
      </c>
      <c r="M125" t="s">
        <v>1830</v>
      </c>
      <c r="N125" t="s">
        <v>876</v>
      </c>
      <c r="O125" t="s">
        <v>1032</v>
      </c>
      <c r="P125" t="s">
        <v>1033</v>
      </c>
      <c r="T125">
        <v>10000</v>
      </c>
      <c r="U125">
        <v>10000</v>
      </c>
      <c r="V125">
        <v>10000</v>
      </c>
      <c r="W125">
        <v>10000</v>
      </c>
      <c r="X125">
        <v>0.11458331830120462</v>
      </c>
      <c r="Y125">
        <v>0.25520832755425055</v>
      </c>
    </row>
    <row r="126" spans="1:25" x14ac:dyDescent="0.2">
      <c r="A126" s="60" t="s">
        <v>1831</v>
      </c>
      <c r="B126" t="s">
        <v>1832</v>
      </c>
      <c r="C126" t="s">
        <v>1833</v>
      </c>
      <c r="D126" t="s">
        <v>1307</v>
      </c>
      <c r="F126">
        <v>614</v>
      </c>
      <c r="J126">
        <v>1</v>
      </c>
      <c r="L126" t="s">
        <v>1834</v>
      </c>
      <c r="M126" t="s">
        <v>1835</v>
      </c>
      <c r="N126" t="s">
        <v>876</v>
      </c>
      <c r="O126" t="s">
        <v>1032</v>
      </c>
      <c r="P126" t="s">
        <v>1033</v>
      </c>
      <c r="T126">
        <v>7.7919005569999999</v>
      </c>
      <c r="U126">
        <v>0.14806207499999999</v>
      </c>
      <c r="V126">
        <v>10000</v>
      </c>
      <c r="W126">
        <v>10000</v>
      </c>
      <c r="X126">
        <v>0.1824524892400855</v>
      </c>
      <c r="Y126">
        <v>0.27869747317622795</v>
      </c>
    </row>
    <row r="127" spans="1:25" x14ac:dyDescent="0.2">
      <c r="A127" s="60" t="s">
        <v>1836</v>
      </c>
      <c r="B127" t="s">
        <v>1837</v>
      </c>
      <c r="C127" t="s">
        <v>1838</v>
      </c>
      <c r="D127" t="s">
        <v>1351</v>
      </c>
      <c r="F127">
        <v>620</v>
      </c>
      <c r="J127">
        <v>1</v>
      </c>
      <c r="L127" t="s">
        <v>1839</v>
      </c>
      <c r="M127" t="s">
        <v>1840</v>
      </c>
      <c r="N127" t="s">
        <v>876</v>
      </c>
      <c r="O127" t="s">
        <v>1032</v>
      </c>
      <c r="P127" t="s">
        <v>1033</v>
      </c>
      <c r="S127">
        <v>1</v>
      </c>
    </row>
    <row r="128" spans="1:25" x14ac:dyDescent="0.2">
      <c r="A128" s="60" t="s">
        <v>1841</v>
      </c>
      <c r="B128" t="s">
        <v>1842</v>
      </c>
      <c r="C128" t="s">
        <v>1843</v>
      </c>
      <c r="D128" t="s">
        <v>1375</v>
      </c>
      <c r="F128">
        <v>625</v>
      </c>
      <c r="J128">
        <v>1</v>
      </c>
      <c r="L128" t="s">
        <v>876</v>
      </c>
      <c r="M128" t="s">
        <v>876</v>
      </c>
      <c r="N128" t="s">
        <v>876</v>
      </c>
      <c r="O128" t="s">
        <v>876</v>
      </c>
      <c r="P128" t="s">
        <v>876</v>
      </c>
    </row>
    <row r="129" spans="1:25" x14ac:dyDescent="0.2">
      <c r="A129" s="60" t="s">
        <v>970</v>
      </c>
      <c r="B129" t="s">
        <v>1844</v>
      </c>
      <c r="C129" t="s">
        <v>1845</v>
      </c>
      <c r="D129" t="s">
        <v>1365</v>
      </c>
      <c r="F129">
        <v>638</v>
      </c>
      <c r="J129">
        <v>1</v>
      </c>
      <c r="L129" t="s">
        <v>1846</v>
      </c>
      <c r="M129" t="s">
        <v>1847</v>
      </c>
      <c r="N129" t="s">
        <v>876</v>
      </c>
      <c r="O129" t="s">
        <v>1032</v>
      </c>
      <c r="P129" t="s">
        <v>1033</v>
      </c>
      <c r="Q129">
        <v>1</v>
      </c>
      <c r="T129" t="s">
        <v>0</v>
      </c>
      <c r="U129" t="s">
        <v>0</v>
      </c>
      <c r="V129" t="s">
        <v>0</v>
      </c>
      <c r="W129" t="s">
        <v>0</v>
      </c>
      <c r="X129">
        <v>0.2310883810853358</v>
      </c>
      <c r="Y129">
        <v>0.23841574468219398</v>
      </c>
    </row>
    <row r="130" spans="1:25" x14ac:dyDescent="0.2">
      <c r="A130" s="60" t="s">
        <v>1848</v>
      </c>
      <c r="B130" t="s">
        <v>1849</v>
      </c>
      <c r="C130" t="s">
        <v>1850</v>
      </c>
      <c r="D130" t="s">
        <v>1297</v>
      </c>
      <c r="F130">
        <v>642</v>
      </c>
      <c r="J130">
        <v>1</v>
      </c>
      <c r="L130" t="s">
        <v>1851</v>
      </c>
      <c r="M130" t="s">
        <v>1852</v>
      </c>
      <c r="N130" t="s">
        <v>876</v>
      </c>
      <c r="O130" t="s">
        <v>1032</v>
      </c>
      <c r="P130" t="s">
        <v>1033</v>
      </c>
      <c r="T130">
        <v>10000</v>
      </c>
      <c r="U130">
        <v>10000</v>
      </c>
      <c r="V130">
        <v>10000</v>
      </c>
      <c r="W130">
        <v>10000</v>
      </c>
      <c r="X130">
        <v>0.11110551120573041</v>
      </c>
      <c r="Y130">
        <v>0.17099998098503799</v>
      </c>
    </row>
    <row r="131" spans="1:25" x14ac:dyDescent="0.2">
      <c r="A131" s="60" t="s">
        <v>1853</v>
      </c>
      <c r="B131" t="s">
        <v>1854</v>
      </c>
      <c r="C131" t="s">
        <v>1855</v>
      </c>
      <c r="D131" t="s">
        <v>1297</v>
      </c>
      <c r="F131">
        <v>643</v>
      </c>
      <c r="J131">
        <v>1</v>
      </c>
      <c r="L131" t="s">
        <v>1856</v>
      </c>
      <c r="M131" t="s">
        <v>1857</v>
      </c>
      <c r="N131" t="s">
        <v>876</v>
      </c>
      <c r="O131" t="s">
        <v>1032</v>
      </c>
      <c r="P131" t="s">
        <v>1033</v>
      </c>
      <c r="T131">
        <v>10000</v>
      </c>
      <c r="U131">
        <v>93.841033359999997</v>
      </c>
      <c r="V131">
        <v>10000</v>
      </c>
      <c r="W131">
        <v>101.45436199513486</v>
      </c>
      <c r="X131">
        <v>6.8062819879999223E-2</v>
      </c>
      <c r="Y131">
        <v>0.10471203519835921</v>
      </c>
    </row>
    <row r="132" spans="1:25" x14ac:dyDescent="0.2">
      <c r="A132" s="60" t="s">
        <v>1858</v>
      </c>
      <c r="B132" t="s">
        <v>1859</v>
      </c>
      <c r="C132" t="s">
        <v>1860</v>
      </c>
      <c r="D132" t="s">
        <v>1297</v>
      </c>
      <c r="F132">
        <v>644</v>
      </c>
      <c r="J132">
        <v>1</v>
      </c>
      <c r="L132" t="s">
        <v>1861</v>
      </c>
      <c r="M132" t="s">
        <v>1862</v>
      </c>
      <c r="N132" t="s">
        <v>876</v>
      </c>
      <c r="O132" t="s">
        <v>667</v>
      </c>
      <c r="P132" t="s">
        <v>1522</v>
      </c>
      <c r="T132">
        <v>10000</v>
      </c>
      <c r="U132">
        <v>10000</v>
      </c>
      <c r="V132">
        <v>10000</v>
      </c>
      <c r="W132">
        <v>10000</v>
      </c>
      <c r="X132">
        <v>7.9776105009280757E-2</v>
      </c>
      <c r="Y132">
        <v>0.15365207545258078</v>
      </c>
    </row>
    <row r="133" spans="1:25" x14ac:dyDescent="0.2">
      <c r="A133" s="60" t="s">
        <v>1863</v>
      </c>
      <c r="B133" t="s">
        <v>1864</v>
      </c>
      <c r="C133" t="s">
        <v>1865</v>
      </c>
      <c r="D133" t="s">
        <v>1866</v>
      </c>
      <c r="F133">
        <v>645</v>
      </c>
      <c r="J133">
        <v>1</v>
      </c>
      <c r="L133" t="s">
        <v>876</v>
      </c>
      <c r="M133" t="s">
        <v>876</v>
      </c>
      <c r="N133" t="s">
        <v>876</v>
      </c>
      <c r="O133" t="s">
        <v>876</v>
      </c>
      <c r="P133" t="s">
        <v>876</v>
      </c>
    </row>
    <row r="134" spans="1:25" x14ac:dyDescent="0.2">
      <c r="A134" s="60" t="s">
        <v>1867</v>
      </c>
      <c r="B134" t="s">
        <v>1868</v>
      </c>
      <c r="C134" t="s">
        <v>1869</v>
      </c>
      <c r="D134" t="s">
        <v>1375</v>
      </c>
      <c r="F134">
        <v>664</v>
      </c>
      <c r="J134">
        <v>1</v>
      </c>
      <c r="L134" t="s">
        <v>876</v>
      </c>
      <c r="M134" t="s">
        <v>876</v>
      </c>
      <c r="N134" t="s">
        <v>876</v>
      </c>
      <c r="O134" t="s">
        <v>876</v>
      </c>
      <c r="P134" t="s">
        <v>876</v>
      </c>
    </row>
    <row r="135" spans="1:25" x14ac:dyDescent="0.2">
      <c r="A135" s="60" t="s">
        <v>1870</v>
      </c>
      <c r="B135" t="s">
        <v>1871</v>
      </c>
      <c r="C135" t="s">
        <v>1872</v>
      </c>
      <c r="D135" t="s">
        <v>1307</v>
      </c>
      <c r="F135">
        <v>665</v>
      </c>
      <c r="J135">
        <v>1</v>
      </c>
      <c r="L135" t="s">
        <v>1873</v>
      </c>
      <c r="M135" t="s">
        <v>1874</v>
      </c>
      <c r="N135" t="s">
        <v>876</v>
      </c>
      <c r="O135" t="s">
        <v>1032</v>
      </c>
      <c r="P135" t="s">
        <v>1033</v>
      </c>
      <c r="T135">
        <v>10000</v>
      </c>
      <c r="U135">
        <v>92.870817939999995</v>
      </c>
      <c r="V135">
        <v>10000</v>
      </c>
      <c r="W135">
        <v>10000</v>
      </c>
      <c r="X135">
        <v>7.5000196625695958E-2</v>
      </c>
      <c r="Y135">
        <v>0.17632856147974016</v>
      </c>
    </row>
    <row r="136" spans="1:25" x14ac:dyDescent="0.2">
      <c r="A136" s="60" t="s">
        <v>1875</v>
      </c>
      <c r="B136" t="s">
        <v>1876</v>
      </c>
      <c r="C136" t="s">
        <v>1877</v>
      </c>
      <c r="D136" t="s">
        <v>1307</v>
      </c>
      <c r="F136">
        <v>666</v>
      </c>
      <c r="J136">
        <v>1</v>
      </c>
      <c r="L136" t="s">
        <v>1878</v>
      </c>
      <c r="M136" t="s">
        <v>1879</v>
      </c>
      <c r="N136" t="s">
        <v>876</v>
      </c>
      <c r="O136" t="s">
        <v>1032</v>
      </c>
      <c r="P136" t="s">
        <v>1033</v>
      </c>
      <c r="T136" t="s">
        <v>0</v>
      </c>
      <c r="U136">
        <v>103.871115</v>
      </c>
      <c r="V136" t="s">
        <v>0</v>
      </c>
      <c r="W136">
        <v>114.43992791385573</v>
      </c>
      <c r="X136">
        <v>6.8421046165010269E-2</v>
      </c>
      <c r="Y136">
        <v>8.4210511831193768E-2</v>
      </c>
    </row>
    <row r="137" spans="1:25" x14ac:dyDescent="0.2">
      <c r="A137" s="60" t="s">
        <v>1880</v>
      </c>
      <c r="B137" t="s">
        <v>1881</v>
      </c>
      <c r="C137" t="s">
        <v>1882</v>
      </c>
      <c r="D137" t="s">
        <v>1307</v>
      </c>
      <c r="F137">
        <v>667</v>
      </c>
      <c r="J137">
        <v>1</v>
      </c>
      <c r="L137" t="s">
        <v>1883</v>
      </c>
      <c r="M137" t="s">
        <v>1884</v>
      </c>
      <c r="N137" t="s">
        <v>876</v>
      </c>
      <c r="O137" t="s">
        <v>1032</v>
      </c>
      <c r="P137" t="s">
        <v>1033</v>
      </c>
      <c r="T137" t="s">
        <v>0</v>
      </c>
      <c r="U137">
        <v>10000</v>
      </c>
      <c r="V137" t="s">
        <v>0</v>
      </c>
      <c r="W137">
        <v>10000</v>
      </c>
      <c r="X137">
        <v>5.2083326490843816E-2</v>
      </c>
      <c r="Y137">
        <v>8.3333325927464202E-2</v>
      </c>
    </row>
    <row r="138" spans="1:25" x14ac:dyDescent="0.2">
      <c r="A138" s="60" t="s">
        <v>1885</v>
      </c>
      <c r="B138" t="s">
        <v>1886</v>
      </c>
      <c r="C138" t="s">
        <v>1887</v>
      </c>
      <c r="D138" t="s">
        <v>1517</v>
      </c>
      <c r="F138">
        <v>668</v>
      </c>
      <c r="J138">
        <v>1</v>
      </c>
      <c r="L138" t="s">
        <v>876</v>
      </c>
      <c r="M138" t="s">
        <v>876</v>
      </c>
      <c r="N138" t="s">
        <v>876</v>
      </c>
      <c r="O138" t="s">
        <v>876</v>
      </c>
      <c r="P138" t="s">
        <v>876</v>
      </c>
    </row>
    <row r="139" spans="1:25" x14ac:dyDescent="0.2">
      <c r="A139" s="60" t="s">
        <v>1888</v>
      </c>
      <c r="B139" t="s">
        <v>1889</v>
      </c>
      <c r="C139" t="s">
        <v>1890</v>
      </c>
      <c r="D139" t="s">
        <v>1307</v>
      </c>
      <c r="F139">
        <v>670</v>
      </c>
      <c r="J139">
        <v>1</v>
      </c>
      <c r="L139" t="s">
        <v>1891</v>
      </c>
      <c r="M139" t="s">
        <v>1892</v>
      </c>
      <c r="N139" t="s">
        <v>876</v>
      </c>
      <c r="O139" t="s">
        <v>1032</v>
      </c>
      <c r="P139" t="s">
        <v>1033</v>
      </c>
      <c r="T139">
        <v>10000</v>
      </c>
      <c r="U139">
        <v>10000</v>
      </c>
      <c r="V139">
        <v>10000</v>
      </c>
      <c r="W139">
        <v>10000</v>
      </c>
      <c r="X139">
        <v>0.11052630889873317</v>
      </c>
      <c r="Y139">
        <v>0.21518970126651282</v>
      </c>
    </row>
    <row r="140" spans="1:25" x14ac:dyDescent="0.2">
      <c r="A140" s="60" t="s">
        <v>1893</v>
      </c>
      <c r="B140" t="s">
        <v>1894</v>
      </c>
      <c r="C140" t="s">
        <v>1895</v>
      </c>
      <c r="D140" t="s">
        <v>1517</v>
      </c>
      <c r="F140">
        <v>671</v>
      </c>
      <c r="J140">
        <v>1</v>
      </c>
      <c r="L140" t="s">
        <v>876</v>
      </c>
      <c r="M140" t="s">
        <v>876</v>
      </c>
      <c r="N140" t="s">
        <v>876</v>
      </c>
      <c r="O140" t="s">
        <v>876</v>
      </c>
      <c r="P140" t="s">
        <v>876</v>
      </c>
    </row>
    <row r="141" spans="1:25" x14ac:dyDescent="0.2">
      <c r="A141" s="60" t="s">
        <v>1299</v>
      </c>
      <c r="B141" t="s">
        <v>1896</v>
      </c>
      <c r="C141" t="s">
        <v>1897</v>
      </c>
      <c r="D141" t="s">
        <v>1375</v>
      </c>
      <c r="F141">
        <v>676</v>
      </c>
      <c r="J141">
        <v>1</v>
      </c>
      <c r="L141" t="s">
        <v>876</v>
      </c>
      <c r="M141" t="s">
        <v>876</v>
      </c>
      <c r="N141" t="s">
        <v>876</v>
      </c>
      <c r="O141" t="s">
        <v>876</v>
      </c>
      <c r="P141" t="s">
        <v>876</v>
      </c>
    </row>
    <row r="142" spans="1:25" x14ac:dyDescent="0.2">
      <c r="A142" s="60" t="s">
        <v>1898</v>
      </c>
      <c r="B142" t="s">
        <v>1899</v>
      </c>
      <c r="C142" t="s">
        <v>1900</v>
      </c>
      <c r="D142" t="s">
        <v>1375</v>
      </c>
      <c r="F142">
        <v>688</v>
      </c>
      <c r="J142">
        <v>1</v>
      </c>
      <c r="L142" t="s">
        <v>876</v>
      </c>
      <c r="M142" t="s">
        <v>876</v>
      </c>
      <c r="N142" t="s">
        <v>876</v>
      </c>
      <c r="O142" t="s">
        <v>876</v>
      </c>
      <c r="P142" t="s">
        <v>876</v>
      </c>
    </row>
    <row r="143" spans="1:25" x14ac:dyDescent="0.2">
      <c r="A143" s="60" t="s">
        <v>1901</v>
      </c>
      <c r="B143" t="s">
        <v>1902</v>
      </c>
      <c r="C143" t="s">
        <v>1903</v>
      </c>
      <c r="D143" t="s">
        <v>1375</v>
      </c>
      <c r="F143">
        <v>698</v>
      </c>
      <c r="J143">
        <v>1</v>
      </c>
      <c r="L143" t="s">
        <v>876</v>
      </c>
      <c r="M143" t="s">
        <v>876</v>
      </c>
      <c r="N143" t="s">
        <v>876</v>
      </c>
      <c r="O143" t="s">
        <v>876</v>
      </c>
      <c r="P143" t="s">
        <v>876</v>
      </c>
    </row>
    <row r="144" spans="1:25" x14ac:dyDescent="0.2">
      <c r="A144" s="60" t="s">
        <v>1309</v>
      </c>
      <c r="B144" t="s">
        <v>1904</v>
      </c>
      <c r="C144" t="s">
        <v>1905</v>
      </c>
      <c r="D144" t="s">
        <v>1297</v>
      </c>
      <c r="F144">
        <v>748</v>
      </c>
      <c r="J144">
        <v>1</v>
      </c>
      <c r="L144" t="s">
        <v>1906</v>
      </c>
      <c r="M144" t="s">
        <v>1907</v>
      </c>
      <c r="N144" t="s">
        <v>876</v>
      </c>
      <c r="O144" t="s">
        <v>1032</v>
      </c>
      <c r="P144" t="s">
        <v>1033</v>
      </c>
      <c r="T144">
        <v>64.439535320000005</v>
      </c>
      <c r="U144">
        <v>63.190913709999997</v>
      </c>
      <c r="V144">
        <v>72.194146973918379</v>
      </c>
      <c r="W144">
        <v>70.84672815699939</v>
      </c>
      <c r="X144">
        <v>8.132133084019974E-2</v>
      </c>
      <c r="Y144">
        <v>0.11508406340499705</v>
      </c>
    </row>
    <row r="145" spans="1:25" x14ac:dyDescent="0.2">
      <c r="A145" s="60" t="s">
        <v>1908</v>
      </c>
      <c r="B145" t="s">
        <v>1909</v>
      </c>
      <c r="C145" t="s">
        <v>1910</v>
      </c>
      <c r="D145" t="s">
        <v>866</v>
      </c>
      <c r="F145">
        <v>751</v>
      </c>
      <c r="J145">
        <v>1</v>
      </c>
      <c r="L145" t="s">
        <v>876</v>
      </c>
      <c r="M145" t="s">
        <v>876</v>
      </c>
      <c r="N145" t="s">
        <v>876</v>
      </c>
      <c r="O145" t="s">
        <v>876</v>
      </c>
      <c r="P145" t="s">
        <v>876</v>
      </c>
    </row>
    <row r="146" spans="1:25" x14ac:dyDescent="0.2">
      <c r="A146" s="60" t="s">
        <v>1911</v>
      </c>
      <c r="B146" t="s">
        <v>1912</v>
      </c>
      <c r="C146" t="s">
        <v>1913</v>
      </c>
      <c r="D146" t="s">
        <v>1318</v>
      </c>
      <c r="F146">
        <v>752</v>
      </c>
      <c r="J146">
        <v>1</v>
      </c>
      <c r="L146" t="s">
        <v>1914</v>
      </c>
      <c r="M146" t="s">
        <v>1915</v>
      </c>
      <c r="N146" t="s">
        <v>876</v>
      </c>
      <c r="O146" t="s">
        <v>1032</v>
      </c>
      <c r="P146" t="s">
        <v>1033</v>
      </c>
      <c r="T146">
        <v>0.56206906700000003</v>
      </c>
      <c r="U146">
        <v>0.55630705700000005</v>
      </c>
      <c r="V146">
        <v>0.6433935366980239</v>
      </c>
      <c r="W146">
        <v>0.61735728278747104</v>
      </c>
      <c r="X146">
        <v>0.98948756380394465</v>
      </c>
      <c r="Y146">
        <v>0.99097184210615441</v>
      </c>
    </row>
    <row r="147" spans="1:25" x14ac:dyDescent="0.2">
      <c r="A147" s="60" t="s">
        <v>1916</v>
      </c>
      <c r="B147" t="s">
        <v>1917</v>
      </c>
      <c r="C147" t="s">
        <v>1918</v>
      </c>
      <c r="D147" t="s">
        <v>1375</v>
      </c>
      <c r="F147">
        <v>753</v>
      </c>
      <c r="J147">
        <v>1</v>
      </c>
      <c r="L147" t="s">
        <v>876</v>
      </c>
      <c r="M147" t="s">
        <v>876</v>
      </c>
      <c r="N147" t="s">
        <v>876</v>
      </c>
      <c r="O147" t="s">
        <v>876</v>
      </c>
      <c r="P147" t="s">
        <v>876</v>
      </c>
    </row>
    <row r="148" spans="1:25" x14ac:dyDescent="0.2">
      <c r="A148" s="60" t="s">
        <v>1919</v>
      </c>
      <c r="B148" t="s">
        <v>1920</v>
      </c>
      <c r="C148" t="s">
        <v>1921</v>
      </c>
      <c r="D148" t="s">
        <v>1318</v>
      </c>
      <c r="F148">
        <v>754</v>
      </c>
      <c r="J148">
        <v>1</v>
      </c>
      <c r="L148" t="s">
        <v>1922</v>
      </c>
      <c r="M148" t="s">
        <v>1923</v>
      </c>
      <c r="N148" t="s">
        <v>876</v>
      </c>
      <c r="O148" t="s">
        <v>1032</v>
      </c>
      <c r="P148" t="s">
        <v>1033</v>
      </c>
      <c r="T148">
        <v>49.470321630000001</v>
      </c>
      <c r="U148">
        <v>6.8087096669999996</v>
      </c>
      <c r="V148">
        <v>56.213244917626007</v>
      </c>
      <c r="W148">
        <v>8.8512708363521053</v>
      </c>
      <c r="X148">
        <v>0.21414699530825976</v>
      </c>
      <c r="Y148">
        <v>0.85882114913863494</v>
      </c>
    </row>
    <row r="149" spans="1:25" x14ac:dyDescent="0.2">
      <c r="A149" s="60" t="s">
        <v>1924</v>
      </c>
      <c r="B149" t="s">
        <v>1925</v>
      </c>
      <c r="C149" t="s">
        <v>1926</v>
      </c>
      <c r="D149" t="s">
        <v>1517</v>
      </c>
      <c r="F149">
        <v>755</v>
      </c>
      <c r="J149">
        <v>1</v>
      </c>
      <c r="L149" t="s">
        <v>876</v>
      </c>
      <c r="M149" t="s">
        <v>876</v>
      </c>
      <c r="N149" t="s">
        <v>876</v>
      </c>
      <c r="O149" t="s">
        <v>876</v>
      </c>
      <c r="P149" t="s">
        <v>876</v>
      </c>
    </row>
    <row r="150" spans="1:25" x14ac:dyDescent="0.2">
      <c r="A150" s="60" t="s">
        <v>1074</v>
      </c>
      <c r="B150" t="s">
        <v>1927</v>
      </c>
      <c r="C150" t="s">
        <v>1928</v>
      </c>
      <c r="D150" t="s">
        <v>1297</v>
      </c>
      <c r="F150">
        <v>759</v>
      </c>
      <c r="J150">
        <v>1</v>
      </c>
      <c r="L150" t="s">
        <v>1929</v>
      </c>
      <c r="M150" t="s">
        <v>1930</v>
      </c>
      <c r="N150" t="s">
        <v>876</v>
      </c>
      <c r="O150" t="s">
        <v>1032</v>
      </c>
      <c r="P150" t="s">
        <v>1033</v>
      </c>
      <c r="T150">
        <v>10000</v>
      </c>
      <c r="U150">
        <v>10000</v>
      </c>
      <c r="V150">
        <v>10000</v>
      </c>
      <c r="W150">
        <v>10000</v>
      </c>
      <c r="X150">
        <v>0.10260913834171985</v>
      </c>
      <c r="Y150">
        <v>0.13352028514276346</v>
      </c>
    </row>
    <row r="151" spans="1:25" x14ac:dyDescent="0.2">
      <c r="A151" s="60" t="s">
        <v>1931</v>
      </c>
      <c r="B151" t="s">
        <v>1932</v>
      </c>
      <c r="C151" t="s">
        <v>1933</v>
      </c>
      <c r="D151" t="s">
        <v>1375</v>
      </c>
      <c r="F151">
        <v>760</v>
      </c>
      <c r="J151">
        <v>1</v>
      </c>
      <c r="L151" t="s">
        <v>876</v>
      </c>
      <c r="M151" t="s">
        <v>876</v>
      </c>
      <c r="N151" t="s">
        <v>876</v>
      </c>
      <c r="O151" t="s">
        <v>876</v>
      </c>
      <c r="P151" t="s">
        <v>876</v>
      </c>
    </row>
    <row r="152" spans="1:25" x14ac:dyDescent="0.2">
      <c r="A152" s="60" t="s">
        <v>1934</v>
      </c>
      <c r="B152" t="s">
        <v>1935</v>
      </c>
      <c r="C152" t="s">
        <v>1936</v>
      </c>
      <c r="D152" t="s">
        <v>1307</v>
      </c>
      <c r="F152">
        <v>762</v>
      </c>
      <c r="J152">
        <v>1</v>
      </c>
      <c r="L152" t="s">
        <v>1937</v>
      </c>
      <c r="M152" t="s">
        <v>1938</v>
      </c>
      <c r="N152" t="s">
        <v>876</v>
      </c>
      <c r="O152" t="s">
        <v>1032</v>
      </c>
      <c r="P152" t="s">
        <v>1033</v>
      </c>
      <c r="T152" t="s">
        <v>0</v>
      </c>
      <c r="U152" t="s">
        <v>0</v>
      </c>
      <c r="V152" t="s">
        <v>0</v>
      </c>
      <c r="W152" t="s">
        <v>0</v>
      </c>
      <c r="X152">
        <v>0.24843368177476724</v>
      </c>
      <c r="Y152">
        <v>0.32562591921520889</v>
      </c>
    </row>
    <row r="153" spans="1:25" x14ac:dyDescent="0.2">
      <c r="A153" s="60" t="s">
        <v>1939</v>
      </c>
      <c r="B153" t="s">
        <v>1940</v>
      </c>
      <c r="C153" t="s">
        <v>1941</v>
      </c>
      <c r="D153" t="s">
        <v>1375</v>
      </c>
      <c r="F153">
        <v>767</v>
      </c>
      <c r="J153">
        <v>1</v>
      </c>
      <c r="L153" t="s">
        <v>876</v>
      </c>
      <c r="M153" t="s">
        <v>876</v>
      </c>
      <c r="N153" t="s">
        <v>876</v>
      </c>
      <c r="O153" t="s">
        <v>876</v>
      </c>
      <c r="P153" t="s">
        <v>876</v>
      </c>
    </row>
    <row r="154" spans="1:25" x14ac:dyDescent="0.2">
      <c r="A154" s="60" t="s">
        <v>1942</v>
      </c>
      <c r="B154" t="s">
        <v>1943</v>
      </c>
      <c r="C154" t="s">
        <v>1944</v>
      </c>
      <c r="D154" t="s">
        <v>1375</v>
      </c>
      <c r="F154">
        <v>768</v>
      </c>
      <c r="J154">
        <v>1</v>
      </c>
      <c r="L154" t="s">
        <v>876</v>
      </c>
      <c r="M154" t="s">
        <v>876</v>
      </c>
      <c r="N154" t="s">
        <v>876</v>
      </c>
      <c r="O154" t="s">
        <v>876</v>
      </c>
      <c r="P154" t="s">
        <v>876</v>
      </c>
    </row>
    <row r="155" spans="1:25" x14ac:dyDescent="0.2">
      <c r="A155" s="60" t="s">
        <v>1945</v>
      </c>
      <c r="B155" t="s">
        <v>1946</v>
      </c>
      <c r="C155" t="s">
        <v>1947</v>
      </c>
      <c r="D155" t="s">
        <v>1318</v>
      </c>
      <c r="F155">
        <v>769</v>
      </c>
      <c r="J155">
        <v>1</v>
      </c>
      <c r="L155" t="s">
        <v>1948</v>
      </c>
      <c r="M155" t="s">
        <v>1949</v>
      </c>
      <c r="N155" t="s">
        <v>876</v>
      </c>
      <c r="O155" t="s">
        <v>1032</v>
      </c>
      <c r="P155" t="s">
        <v>1033</v>
      </c>
      <c r="Q155">
        <v>1</v>
      </c>
      <c r="S155">
        <v>1</v>
      </c>
      <c r="T155">
        <v>49.919838159999998</v>
      </c>
      <c r="U155">
        <v>12.699177840000001</v>
      </c>
      <c r="V155">
        <v>68.256997263495137</v>
      </c>
      <c r="W155">
        <v>34.195473020061591</v>
      </c>
      <c r="X155">
        <v>0.12741175156445878</v>
      </c>
      <c r="Y155">
        <v>0.50712373498388419</v>
      </c>
    </row>
    <row r="156" spans="1:25" x14ac:dyDescent="0.2">
      <c r="A156" s="60" t="s">
        <v>1950</v>
      </c>
      <c r="B156" t="s">
        <v>1951</v>
      </c>
      <c r="C156" t="s">
        <v>1952</v>
      </c>
      <c r="D156" t="s">
        <v>1953</v>
      </c>
      <c r="F156">
        <v>770</v>
      </c>
      <c r="J156">
        <v>1</v>
      </c>
      <c r="L156" t="s">
        <v>876</v>
      </c>
      <c r="M156" t="s">
        <v>876</v>
      </c>
      <c r="N156" t="s">
        <v>876</v>
      </c>
      <c r="O156" t="s">
        <v>876</v>
      </c>
      <c r="P156" t="s">
        <v>876</v>
      </c>
    </row>
    <row r="157" spans="1:25" x14ac:dyDescent="0.2">
      <c r="A157" s="60" t="s">
        <v>1954</v>
      </c>
      <c r="B157" t="s">
        <v>1955</v>
      </c>
      <c r="C157" t="s">
        <v>1956</v>
      </c>
      <c r="D157" t="s">
        <v>1514</v>
      </c>
      <c r="F157">
        <v>771</v>
      </c>
      <c r="J157">
        <v>1</v>
      </c>
      <c r="L157" t="s">
        <v>876</v>
      </c>
      <c r="M157" t="s">
        <v>876</v>
      </c>
      <c r="N157" t="s">
        <v>876</v>
      </c>
      <c r="O157" t="s">
        <v>876</v>
      </c>
      <c r="P157" t="s">
        <v>876</v>
      </c>
    </row>
    <row r="158" spans="1:25" x14ac:dyDescent="0.2">
      <c r="A158" s="60" t="s">
        <v>1957</v>
      </c>
      <c r="B158" t="s">
        <v>1958</v>
      </c>
      <c r="C158" t="s">
        <v>1959</v>
      </c>
      <c r="D158" t="s">
        <v>1297</v>
      </c>
      <c r="F158">
        <v>773</v>
      </c>
      <c r="J158">
        <v>1</v>
      </c>
      <c r="L158" t="s">
        <v>1960</v>
      </c>
      <c r="M158" t="s">
        <v>1961</v>
      </c>
      <c r="N158" t="s">
        <v>876</v>
      </c>
      <c r="O158" t="s">
        <v>1032</v>
      </c>
      <c r="P158" t="s">
        <v>1033</v>
      </c>
      <c r="T158">
        <v>202.4447371</v>
      </c>
      <c r="U158">
        <v>732.79400740000005</v>
      </c>
      <c r="V158">
        <v>10000</v>
      </c>
      <c r="W158">
        <v>10000</v>
      </c>
      <c r="X158">
        <v>0.12821412078751679</v>
      </c>
      <c r="Y158">
        <v>0.12739402316710854</v>
      </c>
    </row>
    <row r="159" spans="1:25" x14ac:dyDescent="0.2">
      <c r="A159" s="60" t="s">
        <v>1962</v>
      </c>
      <c r="B159" t="s">
        <v>1963</v>
      </c>
      <c r="C159" t="s">
        <v>1964</v>
      </c>
      <c r="D159" t="s">
        <v>1307</v>
      </c>
      <c r="F159">
        <v>774</v>
      </c>
      <c r="J159">
        <v>1</v>
      </c>
      <c r="L159" t="s">
        <v>1965</v>
      </c>
      <c r="M159" t="s">
        <v>1966</v>
      </c>
      <c r="N159" t="s">
        <v>876</v>
      </c>
      <c r="O159" t="s">
        <v>1032</v>
      </c>
      <c r="P159" t="s">
        <v>1033</v>
      </c>
      <c r="T159">
        <v>10000</v>
      </c>
      <c r="U159">
        <v>10000</v>
      </c>
      <c r="V159">
        <v>10000</v>
      </c>
      <c r="W159">
        <v>10000</v>
      </c>
      <c r="X159">
        <v>0.14062499477807983</v>
      </c>
      <c r="Y159">
        <v>0.18749999629077724</v>
      </c>
    </row>
    <row r="160" spans="1:25" x14ac:dyDescent="0.2">
      <c r="A160" s="60" t="s">
        <v>1967</v>
      </c>
      <c r="B160" t="s">
        <v>1968</v>
      </c>
      <c r="C160" t="s">
        <v>1969</v>
      </c>
      <c r="D160" t="s">
        <v>1297</v>
      </c>
      <c r="F160">
        <v>777</v>
      </c>
      <c r="J160">
        <v>1</v>
      </c>
      <c r="L160" t="s">
        <v>1970</v>
      </c>
      <c r="M160" t="s">
        <v>1971</v>
      </c>
      <c r="N160" t="s">
        <v>876</v>
      </c>
      <c r="O160" t="s">
        <v>1032</v>
      </c>
      <c r="P160" t="s">
        <v>1033</v>
      </c>
      <c r="T160">
        <v>10000</v>
      </c>
      <c r="U160">
        <v>10000</v>
      </c>
      <c r="V160">
        <v>10000</v>
      </c>
      <c r="W160">
        <v>10000</v>
      </c>
      <c r="X160">
        <v>0.20312499769777936</v>
      </c>
      <c r="Y160">
        <v>0.27083333386286396</v>
      </c>
    </row>
    <row r="161" spans="1:25" x14ac:dyDescent="0.2">
      <c r="A161" s="60" t="s">
        <v>1972</v>
      </c>
      <c r="B161" t="s">
        <v>1973</v>
      </c>
      <c r="C161" t="s">
        <v>1974</v>
      </c>
      <c r="D161" t="s">
        <v>1318</v>
      </c>
      <c r="F161">
        <v>793</v>
      </c>
      <c r="J161">
        <v>1</v>
      </c>
      <c r="L161" t="s">
        <v>1975</v>
      </c>
      <c r="M161" t="s">
        <v>1976</v>
      </c>
      <c r="N161" t="s">
        <v>876</v>
      </c>
      <c r="O161" t="s">
        <v>1032</v>
      </c>
      <c r="P161" t="s">
        <v>1033</v>
      </c>
      <c r="T161">
        <v>78.567322090000005</v>
      </c>
      <c r="U161">
        <v>66.055407939999995</v>
      </c>
      <c r="V161">
        <v>113.20403199806206</v>
      </c>
      <c r="W161">
        <v>112.0991935002386</v>
      </c>
      <c r="X161">
        <v>0.16837693916717322</v>
      </c>
      <c r="Y161">
        <v>0.19058318566308152</v>
      </c>
    </row>
    <row r="162" spans="1:25" x14ac:dyDescent="0.2">
      <c r="A162" s="60" t="s">
        <v>1977</v>
      </c>
      <c r="B162" t="s">
        <v>1978</v>
      </c>
      <c r="C162" t="s">
        <v>1979</v>
      </c>
      <c r="D162" t="s">
        <v>1303</v>
      </c>
      <c r="F162">
        <v>798</v>
      </c>
      <c r="J162">
        <v>1</v>
      </c>
      <c r="L162" t="s">
        <v>876</v>
      </c>
      <c r="M162" t="s">
        <v>876</v>
      </c>
      <c r="N162" t="s">
        <v>876</v>
      </c>
      <c r="O162" t="s">
        <v>876</v>
      </c>
      <c r="P162" t="s">
        <v>876</v>
      </c>
    </row>
    <row r="163" spans="1:25" x14ac:dyDescent="0.2">
      <c r="A163" s="60" t="s">
        <v>1980</v>
      </c>
      <c r="B163" t="s">
        <v>1981</v>
      </c>
      <c r="C163" t="s">
        <v>1982</v>
      </c>
      <c r="D163" t="s">
        <v>1318</v>
      </c>
      <c r="F163">
        <v>812</v>
      </c>
      <c r="J163">
        <v>1</v>
      </c>
      <c r="L163" t="s">
        <v>1983</v>
      </c>
      <c r="M163" t="s">
        <v>1984</v>
      </c>
      <c r="N163" t="s">
        <v>876</v>
      </c>
      <c r="O163" t="s">
        <v>667</v>
      </c>
      <c r="P163" t="s">
        <v>1438</v>
      </c>
      <c r="T163" t="s">
        <v>0</v>
      </c>
      <c r="U163" t="s">
        <v>0</v>
      </c>
      <c r="V163" t="s">
        <v>0</v>
      </c>
      <c r="W163" t="s">
        <v>0</v>
      </c>
      <c r="X163">
        <v>6.2499994418245358E-2</v>
      </c>
      <c r="Y163">
        <v>8.333332788090847E-2</v>
      </c>
    </row>
    <row r="164" spans="1:25" x14ac:dyDescent="0.2">
      <c r="A164" s="60" t="s">
        <v>1314</v>
      </c>
      <c r="B164" t="s">
        <v>1985</v>
      </c>
      <c r="C164" t="s">
        <v>1986</v>
      </c>
      <c r="D164" t="s">
        <v>1318</v>
      </c>
      <c r="F164">
        <v>817</v>
      </c>
      <c r="J164">
        <v>1</v>
      </c>
      <c r="L164" t="s">
        <v>1987</v>
      </c>
      <c r="M164" t="s">
        <v>1988</v>
      </c>
      <c r="N164" t="s">
        <v>876</v>
      </c>
      <c r="O164" t="s">
        <v>667</v>
      </c>
      <c r="P164" t="s">
        <v>1438</v>
      </c>
      <c r="T164">
        <v>78.137794619999994</v>
      </c>
      <c r="U164">
        <v>10000</v>
      </c>
      <c r="V164">
        <v>112.15183886240322</v>
      </c>
      <c r="W164">
        <v>10000</v>
      </c>
      <c r="X164">
        <v>7.1892889717496494E-2</v>
      </c>
      <c r="Y164">
        <v>9.8958328419762792E-2</v>
      </c>
    </row>
    <row r="165" spans="1:25" x14ac:dyDescent="0.2">
      <c r="A165" s="60" t="s">
        <v>1989</v>
      </c>
      <c r="B165" t="s">
        <v>1990</v>
      </c>
      <c r="C165" t="s">
        <v>1991</v>
      </c>
      <c r="D165" t="s">
        <v>1297</v>
      </c>
      <c r="F165">
        <v>818</v>
      </c>
      <c r="J165">
        <v>1</v>
      </c>
      <c r="L165" t="s">
        <v>1992</v>
      </c>
      <c r="M165" t="s">
        <v>1993</v>
      </c>
      <c r="N165" t="s">
        <v>876</v>
      </c>
      <c r="O165" t="s">
        <v>1032</v>
      </c>
      <c r="P165" t="s">
        <v>1033</v>
      </c>
      <c r="T165">
        <v>61.276520359999999</v>
      </c>
      <c r="U165" t="s">
        <v>0</v>
      </c>
      <c r="V165">
        <v>88.616329875521629</v>
      </c>
      <c r="W165" t="s">
        <v>0</v>
      </c>
      <c r="X165">
        <v>8.626229983049305E-2</v>
      </c>
      <c r="Y165">
        <v>0.32625749151327882</v>
      </c>
    </row>
    <row r="166" spans="1:25" x14ac:dyDescent="0.2">
      <c r="A166" s="60" t="s">
        <v>1994</v>
      </c>
      <c r="B166" t="s">
        <v>1995</v>
      </c>
      <c r="C166" t="s">
        <v>1996</v>
      </c>
      <c r="D166" t="s">
        <v>1997</v>
      </c>
      <c r="F166">
        <v>820</v>
      </c>
      <c r="J166">
        <v>1</v>
      </c>
      <c r="L166" t="s">
        <v>876</v>
      </c>
      <c r="M166" t="s">
        <v>876</v>
      </c>
      <c r="N166" t="s">
        <v>876</v>
      </c>
      <c r="O166" t="s">
        <v>876</v>
      </c>
      <c r="P166" t="s">
        <v>876</v>
      </c>
      <c r="Q166">
        <v>1</v>
      </c>
    </row>
    <row r="167" spans="1:25" x14ac:dyDescent="0.2">
      <c r="A167" s="60" t="s">
        <v>1998</v>
      </c>
      <c r="B167" t="s">
        <v>1999</v>
      </c>
      <c r="C167" t="s">
        <v>2000</v>
      </c>
      <c r="D167" t="s">
        <v>1318</v>
      </c>
      <c r="F167">
        <v>824</v>
      </c>
      <c r="J167">
        <v>1</v>
      </c>
      <c r="L167" t="s">
        <v>2001</v>
      </c>
      <c r="M167" t="s">
        <v>2002</v>
      </c>
      <c r="N167" t="s">
        <v>876</v>
      </c>
      <c r="O167" t="s">
        <v>671</v>
      </c>
      <c r="P167" t="s">
        <v>1342</v>
      </c>
      <c r="Q167">
        <v>1</v>
      </c>
      <c r="S167">
        <v>1</v>
      </c>
      <c r="T167">
        <v>0.25594249000000002</v>
      </c>
      <c r="U167">
        <v>0.37321218699999997</v>
      </c>
      <c r="V167">
        <v>0.57202588217061578</v>
      </c>
      <c r="W167">
        <v>0.41605206662426852</v>
      </c>
      <c r="X167">
        <v>0.40829728622907085</v>
      </c>
      <c r="Y167">
        <v>0.57275690331007012</v>
      </c>
    </row>
    <row r="168" spans="1:25" x14ac:dyDescent="0.2">
      <c r="A168" s="60" t="s">
        <v>2003</v>
      </c>
      <c r="B168" t="s">
        <v>2004</v>
      </c>
      <c r="C168" t="s">
        <v>2005</v>
      </c>
      <c r="D168" t="s">
        <v>1307</v>
      </c>
      <c r="F168">
        <v>830</v>
      </c>
      <c r="J168">
        <v>1</v>
      </c>
      <c r="L168" t="s">
        <v>2006</v>
      </c>
      <c r="M168" t="s">
        <v>2007</v>
      </c>
      <c r="N168" t="s">
        <v>876</v>
      </c>
      <c r="O168" t="s">
        <v>1032</v>
      </c>
      <c r="P168" t="s">
        <v>1033</v>
      </c>
      <c r="T168">
        <v>7.3163246629999996</v>
      </c>
      <c r="U168">
        <v>10000</v>
      </c>
      <c r="V168">
        <v>10000</v>
      </c>
      <c r="W168">
        <v>10000</v>
      </c>
      <c r="X168">
        <v>0.10980732542507453</v>
      </c>
      <c r="Y168">
        <v>0.10401941116626356</v>
      </c>
    </row>
    <row r="169" spans="1:25" x14ac:dyDescent="0.2">
      <c r="A169" s="60" t="s">
        <v>2008</v>
      </c>
      <c r="B169" t="s">
        <v>2009</v>
      </c>
      <c r="C169" t="s">
        <v>2010</v>
      </c>
      <c r="D169" t="s">
        <v>1307</v>
      </c>
      <c r="F169">
        <v>857</v>
      </c>
      <c r="J169">
        <v>1</v>
      </c>
      <c r="L169" t="s">
        <v>2011</v>
      </c>
      <c r="M169" t="s">
        <v>2012</v>
      </c>
      <c r="N169" t="s">
        <v>876</v>
      </c>
      <c r="O169" t="s">
        <v>1032</v>
      </c>
      <c r="P169" t="s">
        <v>1033</v>
      </c>
      <c r="T169" t="s">
        <v>0</v>
      </c>
      <c r="U169" t="s">
        <v>0</v>
      </c>
      <c r="V169" t="s">
        <v>0</v>
      </c>
      <c r="W169" t="s">
        <v>0</v>
      </c>
      <c r="X169">
        <v>0.17088600064362713</v>
      </c>
      <c r="Y169">
        <v>0.19620221959770687</v>
      </c>
    </row>
    <row r="170" spans="1:25" x14ac:dyDescent="0.2">
      <c r="A170" s="60" t="s">
        <v>2013</v>
      </c>
      <c r="B170" t="s">
        <v>2014</v>
      </c>
      <c r="C170" t="s">
        <v>2015</v>
      </c>
      <c r="D170" t="s">
        <v>1307</v>
      </c>
      <c r="F170">
        <v>858</v>
      </c>
      <c r="J170">
        <v>1</v>
      </c>
      <c r="L170" t="s">
        <v>2016</v>
      </c>
      <c r="M170" t="s">
        <v>2017</v>
      </c>
      <c r="N170" t="s">
        <v>876</v>
      </c>
      <c r="O170" t="s">
        <v>1032</v>
      </c>
      <c r="P170" t="s">
        <v>1033</v>
      </c>
      <c r="T170" t="s">
        <v>0</v>
      </c>
      <c r="U170" t="s">
        <v>0</v>
      </c>
      <c r="V170" t="s">
        <v>0</v>
      </c>
      <c r="W170" t="s">
        <v>0</v>
      </c>
      <c r="X170">
        <v>0.11747213652871127</v>
      </c>
      <c r="Y170">
        <v>0.16948873482383608</v>
      </c>
    </row>
    <row r="171" spans="1:25" x14ac:dyDescent="0.2">
      <c r="A171" s="60" t="s">
        <v>2018</v>
      </c>
      <c r="B171" t="s">
        <v>2019</v>
      </c>
      <c r="C171" t="s">
        <v>2020</v>
      </c>
      <c r="D171" t="s">
        <v>1297</v>
      </c>
      <c r="F171">
        <v>859</v>
      </c>
      <c r="J171">
        <v>1</v>
      </c>
      <c r="L171" t="s">
        <v>2021</v>
      </c>
      <c r="M171" t="s">
        <v>2022</v>
      </c>
      <c r="N171" t="s">
        <v>876</v>
      </c>
      <c r="O171" t="s">
        <v>1032</v>
      </c>
      <c r="P171" t="s">
        <v>1033</v>
      </c>
      <c r="T171">
        <v>73.018110309999997</v>
      </c>
      <c r="U171">
        <v>62.927426320000002</v>
      </c>
      <c r="V171">
        <v>107.1733910225654</v>
      </c>
      <c r="W171">
        <v>70.56193049084807</v>
      </c>
      <c r="X171">
        <v>0.12336836054862139</v>
      </c>
      <c r="Y171">
        <v>0.17760415634382193</v>
      </c>
    </row>
    <row r="172" spans="1:25" x14ac:dyDescent="0.2">
      <c r="A172" s="60" t="s">
        <v>2023</v>
      </c>
      <c r="B172" t="s">
        <v>2024</v>
      </c>
      <c r="C172" t="s">
        <v>2025</v>
      </c>
      <c r="D172" t="s">
        <v>1297</v>
      </c>
      <c r="F172">
        <v>864</v>
      </c>
      <c r="J172">
        <v>1</v>
      </c>
      <c r="L172" t="s">
        <v>2026</v>
      </c>
      <c r="M172" t="s">
        <v>2027</v>
      </c>
      <c r="N172" t="s">
        <v>876</v>
      </c>
      <c r="O172" t="s">
        <v>667</v>
      </c>
      <c r="P172" t="s">
        <v>2028</v>
      </c>
      <c r="T172">
        <v>10000</v>
      </c>
      <c r="U172">
        <v>10000</v>
      </c>
      <c r="V172">
        <v>10000</v>
      </c>
      <c r="W172">
        <v>10000</v>
      </c>
      <c r="X172">
        <v>0.13157894071357512</v>
      </c>
      <c r="Y172">
        <v>0.15789470568781322</v>
      </c>
    </row>
    <row r="173" spans="1:25" x14ac:dyDescent="0.2">
      <c r="A173" s="60" t="s">
        <v>2029</v>
      </c>
      <c r="B173" t="s">
        <v>2030</v>
      </c>
      <c r="C173" t="s">
        <v>2031</v>
      </c>
      <c r="D173" t="s">
        <v>1307</v>
      </c>
      <c r="F173">
        <v>866</v>
      </c>
      <c r="J173">
        <v>1</v>
      </c>
      <c r="L173" t="s">
        <v>2032</v>
      </c>
      <c r="M173" t="s">
        <v>2033</v>
      </c>
      <c r="N173" t="s">
        <v>876</v>
      </c>
      <c r="O173" t="s">
        <v>1032</v>
      </c>
      <c r="P173" t="s">
        <v>1033</v>
      </c>
      <c r="T173">
        <v>106.74450899999999</v>
      </c>
      <c r="U173">
        <v>10000</v>
      </c>
      <c r="V173">
        <v>10000</v>
      </c>
      <c r="W173">
        <v>10000</v>
      </c>
      <c r="X173">
        <v>0.11580894514513956</v>
      </c>
      <c r="Y173">
        <v>0.12091549891495373</v>
      </c>
    </row>
    <row r="174" spans="1:25" x14ac:dyDescent="0.2">
      <c r="A174" s="60" t="s">
        <v>1320</v>
      </c>
      <c r="B174" t="s">
        <v>2034</v>
      </c>
      <c r="C174" t="s">
        <v>2035</v>
      </c>
      <c r="D174" t="s">
        <v>1297</v>
      </c>
      <c r="F174">
        <v>868</v>
      </c>
      <c r="J174">
        <v>1</v>
      </c>
      <c r="L174" t="s">
        <v>2036</v>
      </c>
      <c r="M174" t="s">
        <v>2037</v>
      </c>
      <c r="N174" t="s">
        <v>876</v>
      </c>
      <c r="O174" t="s">
        <v>1032</v>
      </c>
      <c r="P174" t="s">
        <v>1033</v>
      </c>
      <c r="T174">
        <v>2.0307099999999998E-3</v>
      </c>
      <c r="U174">
        <v>10000</v>
      </c>
      <c r="V174">
        <v>10000</v>
      </c>
      <c r="W174">
        <v>10000</v>
      </c>
      <c r="X174">
        <v>0.16492642570791</v>
      </c>
      <c r="Y174">
        <v>0.18229166017635418</v>
      </c>
    </row>
    <row r="175" spans="1:25" x14ac:dyDescent="0.2">
      <c r="A175" s="60" t="s">
        <v>2038</v>
      </c>
      <c r="B175" t="s">
        <v>2039</v>
      </c>
      <c r="C175" t="s">
        <v>2040</v>
      </c>
      <c r="D175" t="s">
        <v>1297</v>
      </c>
      <c r="F175">
        <v>908</v>
      </c>
      <c r="J175">
        <v>1</v>
      </c>
      <c r="L175" t="s">
        <v>2041</v>
      </c>
      <c r="M175" t="s">
        <v>2042</v>
      </c>
      <c r="N175" t="s">
        <v>876</v>
      </c>
      <c r="O175" t="s">
        <v>1032</v>
      </c>
      <c r="P175" t="s">
        <v>1033</v>
      </c>
      <c r="Q175">
        <v>1</v>
      </c>
      <c r="T175">
        <v>10000</v>
      </c>
      <c r="U175">
        <v>10000</v>
      </c>
      <c r="V175">
        <v>10000</v>
      </c>
      <c r="W175">
        <v>10000</v>
      </c>
      <c r="X175">
        <v>0.14375133365008216</v>
      </c>
      <c r="Y175">
        <v>0.19374983848334923</v>
      </c>
    </row>
    <row r="176" spans="1:25" x14ac:dyDescent="0.2">
      <c r="A176" s="60" t="s">
        <v>2043</v>
      </c>
      <c r="B176" t="s">
        <v>2044</v>
      </c>
      <c r="C176" t="s">
        <v>2045</v>
      </c>
      <c r="D176" t="s">
        <v>1375</v>
      </c>
      <c r="F176">
        <v>911</v>
      </c>
      <c r="J176">
        <v>1</v>
      </c>
      <c r="L176" t="s">
        <v>876</v>
      </c>
      <c r="M176" t="s">
        <v>876</v>
      </c>
      <c r="N176" t="s">
        <v>876</v>
      </c>
      <c r="O176" t="s">
        <v>876</v>
      </c>
      <c r="P176" t="s">
        <v>876</v>
      </c>
    </row>
    <row r="177" spans="1:25" x14ac:dyDescent="0.2">
      <c r="A177" s="60" t="s">
        <v>2046</v>
      </c>
      <c r="B177" t="s">
        <v>2047</v>
      </c>
      <c r="C177" t="s">
        <v>2048</v>
      </c>
      <c r="D177" t="s">
        <v>1297</v>
      </c>
      <c r="F177">
        <v>917</v>
      </c>
      <c r="J177">
        <v>1</v>
      </c>
      <c r="L177" t="s">
        <v>2049</v>
      </c>
      <c r="M177" t="s">
        <v>2050</v>
      </c>
      <c r="N177" t="s">
        <v>876</v>
      </c>
      <c r="O177" t="s">
        <v>667</v>
      </c>
      <c r="P177" t="s">
        <v>1438</v>
      </c>
      <c r="Q177">
        <v>1</v>
      </c>
      <c r="S177">
        <v>1</v>
      </c>
      <c r="T177">
        <v>10000</v>
      </c>
      <c r="U177">
        <v>294.54792320000001</v>
      </c>
      <c r="V177">
        <v>10000</v>
      </c>
      <c r="W177">
        <v>473.6624199383229</v>
      </c>
      <c r="X177">
        <v>6.8749909998679345E-2</v>
      </c>
      <c r="Y177">
        <v>8.3333327804359564E-2</v>
      </c>
    </row>
    <row r="178" spans="1:25" x14ac:dyDescent="0.2">
      <c r="A178" s="60" t="s">
        <v>2051</v>
      </c>
      <c r="B178" t="s">
        <v>2052</v>
      </c>
      <c r="C178" t="s">
        <v>2053</v>
      </c>
      <c r="D178" t="s">
        <v>1318</v>
      </c>
      <c r="F178">
        <v>919</v>
      </c>
      <c r="J178">
        <v>1</v>
      </c>
      <c r="L178" t="s">
        <v>2054</v>
      </c>
      <c r="M178" t="s">
        <v>2055</v>
      </c>
      <c r="N178" t="s">
        <v>876</v>
      </c>
      <c r="O178" t="s">
        <v>1032</v>
      </c>
      <c r="P178" t="s">
        <v>1033</v>
      </c>
      <c r="Q178">
        <v>1</v>
      </c>
      <c r="T178">
        <v>10000</v>
      </c>
      <c r="U178">
        <v>2.3297298139999998</v>
      </c>
      <c r="V178">
        <v>10000</v>
      </c>
      <c r="W178">
        <v>10000</v>
      </c>
      <c r="X178">
        <v>7.6607160189786666E-2</v>
      </c>
      <c r="Y178">
        <v>0.16835424080712078</v>
      </c>
    </row>
    <row r="179" spans="1:25" x14ac:dyDescent="0.2">
      <c r="A179" s="60" t="s">
        <v>2056</v>
      </c>
      <c r="B179" t="s">
        <v>2057</v>
      </c>
      <c r="C179" t="s">
        <v>2058</v>
      </c>
      <c r="D179" t="s">
        <v>1517</v>
      </c>
      <c r="F179">
        <v>949</v>
      </c>
      <c r="J179">
        <v>1</v>
      </c>
      <c r="L179" t="s">
        <v>876</v>
      </c>
      <c r="M179" t="s">
        <v>876</v>
      </c>
      <c r="N179" t="s">
        <v>876</v>
      </c>
      <c r="O179" t="s">
        <v>876</v>
      </c>
      <c r="P179" t="s">
        <v>876</v>
      </c>
    </row>
    <row r="180" spans="1:25" x14ac:dyDescent="0.2">
      <c r="A180" s="60" t="s">
        <v>2059</v>
      </c>
      <c r="B180" t="s">
        <v>2060</v>
      </c>
      <c r="C180" t="s">
        <v>2061</v>
      </c>
      <c r="D180" t="s">
        <v>2062</v>
      </c>
      <c r="F180">
        <v>950</v>
      </c>
      <c r="J180">
        <v>1</v>
      </c>
      <c r="L180" t="s">
        <v>876</v>
      </c>
      <c r="M180" t="s">
        <v>876</v>
      </c>
      <c r="N180" t="s">
        <v>876</v>
      </c>
      <c r="O180" t="s">
        <v>876</v>
      </c>
      <c r="P180" t="s">
        <v>876</v>
      </c>
    </row>
    <row r="181" spans="1:25" x14ac:dyDescent="0.2">
      <c r="A181" s="60" t="s">
        <v>2063</v>
      </c>
      <c r="B181" t="s">
        <v>2064</v>
      </c>
      <c r="C181" t="s">
        <v>2065</v>
      </c>
      <c r="D181" t="s">
        <v>1318</v>
      </c>
      <c r="F181">
        <v>952</v>
      </c>
      <c r="J181">
        <v>1</v>
      </c>
      <c r="L181" t="s">
        <v>2066</v>
      </c>
      <c r="M181" t="s">
        <v>2067</v>
      </c>
      <c r="N181" t="s">
        <v>876</v>
      </c>
      <c r="O181" t="s">
        <v>1032</v>
      </c>
      <c r="P181" t="s">
        <v>1033</v>
      </c>
      <c r="T181">
        <v>14.65481041</v>
      </c>
      <c r="U181">
        <v>78.803349740000002</v>
      </c>
      <c r="V181">
        <v>10000</v>
      </c>
      <c r="W181">
        <v>10000</v>
      </c>
      <c r="X181">
        <v>0.17059455539951562</v>
      </c>
      <c r="Y181">
        <v>0.18025167998046004</v>
      </c>
    </row>
    <row r="182" spans="1:25" x14ac:dyDescent="0.2">
      <c r="A182" s="60" t="s">
        <v>2068</v>
      </c>
      <c r="B182" t="s">
        <v>2069</v>
      </c>
      <c r="C182" t="s">
        <v>2070</v>
      </c>
      <c r="D182" t="s">
        <v>1318</v>
      </c>
      <c r="F182">
        <v>953</v>
      </c>
      <c r="J182">
        <v>1</v>
      </c>
      <c r="L182" t="s">
        <v>2071</v>
      </c>
      <c r="M182" t="s">
        <v>2072</v>
      </c>
      <c r="N182" t="s">
        <v>876</v>
      </c>
      <c r="O182" t="s">
        <v>1032</v>
      </c>
      <c r="P182" t="s">
        <v>1033</v>
      </c>
      <c r="Q182">
        <v>1</v>
      </c>
      <c r="T182">
        <v>1.4131357470000001</v>
      </c>
      <c r="U182">
        <v>1.406713112</v>
      </c>
      <c r="V182">
        <v>1.5521512936987789</v>
      </c>
      <c r="W182">
        <v>1.6035374629319508</v>
      </c>
      <c r="X182">
        <v>0.96607699177929707</v>
      </c>
      <c r="Y182">
        <v>0.97771032892481957</v>
      </c>
    </row>
    <row r="183" spans="1:25" x14ac:dyDescent="0.2">
      <c r="A183" s="60" t="s">
        <v>2073</v>
      </c>
      <c r="B183" t="s">
        <v>2074</v>
      </c>
      <c r="C183" t="s">
        <v>2075</v>
      </c>
      <c r="D183" t="s">
        <v>1297</v>
      </c>
      <c r="F183">
        <v>956</v>
      </c>
      <c r="J183">
        <v>1</v>
      </c>
      <c r="L183" t="s">
        <v>2076</v>
      </c>
      <c r="M183" t="s">
        <v>2077</v>
      </c>
      <c r="N183" t="s">
        <v>876</v>
      </c>
      <c r="O183" t="s">
        <v>667</v>
      </c>
      <c r="P183" t="s">
        <v>1438</v>
      </c>
      <c r="T183">
        <v>75.979236180000001</v>
      </c>
      <c r="U183">
        <v>64.885761380000005</v>
      </c>
      <c r="V183">
        <v>109.51778601282923</v>
      </c>
      <c r="W183">
        <v>10000</v>
      </c>
      <c r="X183">
        <v>6.6524732894752511E-2</v>
      </c>
      <c r="Y183">
        <v>0.16417026958342357</v>
      </c>
    </row>
    <row r="184" spans="1:25" x14ac:dyDescent="0.2">
      <c r="A184" s="60" t="s">
        <v>2078</v>
      </c>
      <c r="B184" t="s">
        <v>2079</v>
      </c>
      <c r="C184" t="s">
        <v>2080</v>
      </c>
      <c r="D184" t="s">
        <v>1517</v>
      </c>
      <c r="F184">
        <v>964</v>
      </c>
      <c r="J184">
        <v>1</v>
      </c>
      <c r="L184" t="s">
        <v>876</v>
      </c>
      <c r="M184" t="s">
        <v>876</v>
      </c>
      <c r="N184" t="s">
        <v>876</v>
      </c>
      <c r="O184" t="s">
        <v>876</v>
      </c>
      <c r="P184" t="s">
        <v>876</v>
      </c>
    </row>
    <row r="185" spans="1:25" x14ac:dyDescent="0.2">
      <c r="A185" s="60" t="s">
        <v>2081</v>
      </c>
      <c r="B185" t="s">
        <v>2082</v>
      </c>
      <c r="C185" t="s">
        <v>2083</v>
      </c>
      <c r="D185" t="s">
        <v>1307</v>
      </c>
      <c r="F185">
        <v>974</v>
      </c>
      <c r="J185">
        <v>1</v>
      </c>
      <c r="L185" t="s">
        <v>2084</v>
      </c>
      <c r="M185" t="s">
        <v>2085</v>
      </c>
      <c r="N185" t="s">
        <v>876</v>
      </c>
      <c r="O185" t="s">
        <v>1032</v>
      </c>
      <c r="P185" t="s">
        <v>1033</v>
      </c>
      <c r="S185">
        <v>1</v>
      </c>
      <c r="T185" t="s">
        <v>0</v>
      </c>
      <c r="U185">
        <v>72.009776790000004</v>
      </c>
      <c r="V185" t="s">
        <v>0</v>
      </c>
      <c r="W185">
        <v>103.4137863384321</v>
      </c>
      <c r="X185">
        <v>5.7291659572837592E-2</v>
      </c>
      <c r="Y185">
        <v>8.6993156481637829E-2</v>
      </c>
    </row>
    <row r="186" spans="1:25" x14ac:dyDescent="0.2">
      <c r="A186" s="60" t="s">
        <v>2086</v>
      </c>
      <c r="B186" t="s">
        <v>2087</v>
      </c>
      <c r="C186" t="s">
        <v>2088</v>
      </c>
      <c r="D186" t="s">
        <v>1517</v>
      </c>
      <c r="F186">
        <v>975</v>
      </c>
      <c r="J186">
        <v>1</v>
      </c>
      <c r="L186" t="s">
        <v>876</v>
      </c>
      <c r="M186" t="s">
        <v>876</v>
      </c>
      <c r="N186" t="s">
        <v>876</v>
      </c>
      <c r="O186" t="s">
        <v>876</v>
      </c>
      <c r="P186" t="s">
        <v>876</v>
      </c>
    </row>
    <row r="187" spans="1:25" x14ac:dyDescent="0.2">
      <c r="A187" s="60" t="s">
        <v>2089</v>
      </c>
      <c r="B187" t="s">
        <v>2090</v>
      </c>
      <c r="C187" t="s">
        <v>2091</v>
      </c>
      <c r="D187" t="s">
        <v>1375</v>
      </c>
      <c r="F187">
        <v>992</v>
      </c>
      <c r="J187">
        <v>1</v>
      </c>
      <c r="L187" t="s">
        <v>876</v>
      </c>
      <c r="M187" t="s">
        <v>876</v>
      </c>
      <c r="N187" t="s">
        <v>876</v>
      </c>
      <c r="O187" t="s">
        <v>876</v>
      </c>
      <c r="P187" t="s">
        <v>876</v>
      </c>
    </row>
    <row r="188" spans="1:25" x14ac:dyDescent="0.2">
      <c r="A188" s="60" t="s">
        <v>2092</v>
      </c>
      <c r="B188" t="s">
        <v>2093</v>
      </c>
      <c r="C188" t="s">
        <v>2094</v>
      </c>
      <c r="D188" t="s">
        <v>1375</v>
      </c>
      <c r="F188">
        <v>996</v>
      </c>
      <c r="J188">
        <v>1</v>
      </c>
      <c r="L188" t="s">
        <v>876</v>
      </c>
      <c r="M188" t="s">
        <v>876</v>
      </c>
      <c r="N188" t="s">
        <v>876</v>
      </c>
      <c r="O188" t="s">
        <v>876</v>
      </c>
      <c r="P188" t="s">
        <v>876</v>
      </c>
    </row>
    <row r="189" spans="1:25" x14ac:dyDescent="0.2">
      <c r="A189" s="60" t="s">
        <v>2095</v>
      </c>
      <c r="B189" t="s">
        <v>2096</v>
      </c>
      <c r="C189" t="s">
        <v>2097</v>
      </c>
      <c r="D189" t="s">
        <v>2098</v>
      </c>
      <c r="F189">
        <v>997</v>
      </c>
      <c r="J189">
        <v>1</v>
      </c>
      <c r="L189" t="s">
        <v>876</v>
      </c>
      <c r="M189" t="s">
        <v>876</v>
      </c>
      <c r="N189" t="s">
        <v>876</v>
      </c>
      <c r="O189" t="s">
        <v>876</v>
      </c>
      <c r="P189" t="s">
        <v>876</v>
      </c>
    </row>
    <row r="190" spans="1:25" x14ac:dyDescent="0.2">
      <c r="A190" s="60" t="s">
        <v>2099</v>
      </c>
      <c r="B190" t="s">
        <v>2100</v>
      </c>
      <c r="C190" t="s">
        <v>2101</v>
      </c>
      <c r="D190" t="s">
        <v>1517</v>
      </c>
      <c r="F190">
        <v>998</v>
      </c>
      <c r="J190">
        <v>1</v>
      </c>
      <c r="L190" t="s">
        <v>876</v>
      </c>
      <c r="M190" t="s">
        <v>876</v>
      </c>
      <c r="N190" t="s">
        <v>876</v>
      </c>
      <c r="O190" t="s">
        <v>876</v>
      </c>
      <c r="P190" t="s">
        <v>876</v>
      </c>
      <c r="S190">
        <v>1</v>
      </c>
    </row>
    <row r="191" spans="1:25" x14ac:dyDescent="0.2">
      <c r="A191" s="60" t="s">
        <v>2102</v>
      </c>
      <c r="B191" t="s">
        <v>2103</v>
      </c>
      <c r="C191" t="s">
        <v>2104</v>
      </c>
      <c r="D191" t="s">
        <v>1307</v>
      </c>
      <c r="F191">
        <v>1001</v>
      </c>
      <c r="J191">
        <v>1</v>
      </c>
      <c r="L191" t="s">
        <v>2105</v>
      </c>
      <c r="M191" t="s">
        <v>2106</v>
      </c>
      <c r="N191" t="s">
        <v>876</v>
      </c>
      <c r="O191" t="s">
        <v>1032</v>
      </c>
      <c r="P191" t="s">
        <v>1033</v>
      </c>
      <c r="T191">
        <v>10000</v>
      </c>
      <c r="U191">
        <v>10000</v>
      </c>
      <c r="V191">
        <v>10000</v>
      </c>
      <c r="W191">
        <v>10000</v>
      </c>
      <c r="X191">
        <v>0.13541710987998981</v>
      </c>
      <c r="Y191">
        <v>0.17708332026293561</v>
      </c>
    </row>
    <row r="192" spans="1:25" x14ac:dyDescent="0.2">
      <c r="A192" s="60" t="s">
        <v>2107</v>
      </c>
      <c r="B192" t="s">
        <v>2108</v>
      </c>
      <c r="C192" t="s">
        <v>2109</v>
      </c>
      <c r="D192" t="s">
        <v>1307</v>
      </c>
      <c r="F192">
        <v>1005</v>
      </c>
      <c r="J192">
        <v>1</v>
      </c>
      <c r="L192" t="s">
        <v>2110</v>
      </c>
      <c r="M192" t="s">
        <v>2111</v>
      </c>
      <c r="N192" t="s">
        <v>876</v>
      </c>
      <c r="O192" t="s">
        <v>1032</v>
      </c>
      <c r="P192" t="s">
        <v>1033</v>
      </c>
      <c r="T192">
        <v>76.33437601</v>
      </c>
      <c r="U192" t="s">
        <v>0</v>
      </c>
      <c r="V192">
        <v>110.02509173444638</v>
      </c>
      <c r="W192" t="s">
        <v>0</v>
      </c>
      <c r="X192">
        <v>3.5265019460067937E-2</v>
      </c>
      <c r="Y192">
        <v>0.25274791605797525</v>
      </c>
    </row>
    <row r="193" spans="1:25" x14ac:dyDescent="0.2">
      <c r="A193" s="60" t="s">
        <v>2112</v>
      </c>
      <c r="B193" t="s">
        <v>2113</v>
      </c>
      <c r="C193" t="s">
        <v>2114</v>
      </c>
      <c r="D193" t="s">
        <v>1297</v>
      </c>
      <c r="F193">
        <v>1006</v>
      </c>
      <c r="J193">
        <v>1</v>
      </c>
      <c r="L193" t="s">
        <v>2115</v>
      </c>
      <c r="M193" t="s">
        <v>2116</v>
      </c>
      <c r="N193" t="s">
        <v>876</v>
      </c>
      <c r="O193" t="s">
        <v>1032</v>
      </c>
      <c r="P193" t="s">
        <v>1033</v>
      </c>
      <c r="T193">
        <v>83.262491890000007</v>
      </c>
      <c r="U193">
        <v>10000</v>
      </c>
      <c r="V193">
        <v>10000</v>
      </c>
      <c r="W193">
        <v>10000</v>
      </c>
      <c r="X193">
        <v>0.27514895468632966</v>
      </c>
      <c r="Y193">
        <v>0.28610738864726576</v>
      </c>
    </row>
    <row r="194" spans="1:25" x14ac:dyDescent="0.2">
      <c r="A194" s="60" t="s">
        <v>2117</v>
      </c>
      <c r="B194" t="s">
        <v>2118</v>
      </c>
      <c r="C194" t="s">
        <v>2119</v>
      </c>
      <c r="D194" t="s">
        <v>1307</v>
      </c>
      <c r="F194">
        <v>1007</v>
      </c>
      <c r="J194">
        <v>1</v>
      </c>
      <c r="L194" t="s">
        <v>2120</v>
      </c>
      <c r="M194" t="s">
        <v>2121</v>
      </c>
      <c r="N194" t="s">
        <v>876</v>
      </c>
      <c r="O194" t="s">
        <v>1032</v>
      </c>
      <c r="P194" t="s">
        <v>1033</v>
      </c>
      <c r="T194">
        <v>10000</v>
      </c>
      <c r="U194">
        <v>10000</v>
      </c>
      <c r="V194">
        <v>10000</v>
      </c>
      <c r="W194">
        <v>10000</v>
      </c>
      <c r="X194">
        <v>0.10624964453762759</v>
      </c>
      <c r="Y194">
        <v>0.11979166055534621</v>
      </c>
    </row>
    <row r="195" spans="1:25" x14ac:dyDescent="0.2">
      <c r="A195" s="60" t="s">
        <v>2122</v>
      </c>
      <c r="B195" t="s">
        <v>2123</v>
      </c>
      <c r="C195" t="s">
        <v>2124</v>
      </c>
      <c r="D195" t="s">
        <v>1517</v>
      </c>
      <c r="F195">
        <v>1008</v>
      </c>
      <c r="J195">
        <v>1</v>
      </c>
      <c r="L195" t="s">
        <v>876</v>
      </c>
      <c r="M195" t="s">
        <v>876</v>
      </c>
      <c r="N195" t="s">
        <v>876</v>
      </c>
      <c r="O195" t="s">
        <v>876</v>
      </c>
      <c r="P195" t="s">
        <v>876</v>
      </c>
    </row>
    <row r="196" spans="1:25" x14ac:dyDescent="0.2">
      <c r="A196" s="60" t="s">
        <v>2125</v>
      </c>
      <c r="B196" t="s">
        <v>2126</v>
      </c>
      <c r="C196" t="s">
        <v>2127</v>
      </c>
      <c r="D196" t="s">
        <v>1371</v>
      </c>
      <c r="F196">
        <v>1017</v>
      </c>
      <c r="J196">
        <v>1</v>
      </c>
      <c r="L196" t="s">
        <v>876</v>
      </c>
      <c r="M196" t="s">
        <v>876</v>
      </c>
      <c r="N196" t="s">
        <v>876</v>
      </c>
      <c r="O196" t="s">
        <v>876</v>
      </c>
      <c r="P196" t="s">
        <v>876</v>
      </c>
    </row>
    <row r="197" spans="1:25" x14ac:dyDescent="0.2">
      <c r="A197" s="60" t="s">
        <v>2128</v>
      </c>
      <c r="B197" t="s">
        <v>2129</v>
      </c>
      <c r="C197" t="s">
        <v>2130</v>
      </c>
      <c r="D197" t="s">
        <v>1514</v>
      </c>
      <c r="F197">
        <v>1019</v>
      </c>
      <c r="J197">
        <v>1</v>
      </c>
      <c r="L197" t="s">
        <v>876</v>
      </c>
      <c r="M197" t="s">
        <v>876</v>
      </c>
      <c r="N197" t="s">
        <v>876</v>
      </c>
      <c r="O197" t="s">
        <v>876</v>
      </c>
      <c r="P197" t="s">
        <v>876</v>
      </c>
    </row>
    <row r="198" spans="1:25" x14ac:dyDescent="0.2">
      <c r="A198" s="60" t="s">
        <v>973</v>
      </c>
      <c r="B198" t="s">
        <v>2131</v>
      </c>
      <c r="C198" t="s">
        <v>2132</v>
      </c>
      <c r="D198" t="s">
        <v>782</v>
      </c>
      <c r="F198">
        <v>1023</v>
      </c>
      <c r="J198">
        <v>1</v>
      </c>
      <c r="L198" t="s">
        <v>876</v>
      </c>
      <c r="M198" t="s">
        <v>876</v>
      </c>
      <c r="N198" t="s">
        <v>876</v>
      </c>
      <c r="O198" t="s">
        <v>876</v>
      </c>
      <c r="P198" t="s">
        <v>876</v>
      </c>
    </row>
    <row r="199" spans="1:25" x14ac:dyDescent="0.2">
      <c r="A199" s="60" t="s">
        <v>2133</v>
      </c>
      <c r="B199" t="s">
        <v>2134</v>
      </c>
      <c r="C199" t="s">
        <v>2135</v>
      </c>
      <c r="D199" t="s">
        <v>1307</v>
      </c>
      <c r="F199">
        <v>1026</v>
      </c>
      <c r="J199">
        <v>1</v>
      </c>
      <c r="L199" t="s">
        <v>2136</v>
      </c>
      <c r="M199" t="s">
        <v>2137</v>
      </c>
      <c r="N199" t="s">
        <v>876</v>
      </c>
      <c r="O199" t="s">
        <v>1032</v>
      </c>
      <c r="P199" t="s">
        <v>1033</v>
      </c>
      <c r="T199">
        <v>70.745928109999994</v>
      </c>
      <c r="U199">
        <v>66.82975399</v>
      </c>
      <c r="V199">
        <v>102.07548329924654</v>
      </c>
      <c r="W199">
        <v>74.77285470683691</v>
      </c>
      <c r="X199">
        <v>8.1702630161666456E-2</v>
      </c>
      <c r="Y199">
        <v>9.0381851032050348E-2</v>
      </c>
    </row>
    <row r="200" spans="1:25" x14ac:dyDescent="0.2">
      <c r="A200" s="60" t="s">
        <v>2138</v>
      </c>
      <c r="B200" t="s">
        <v>2139</v>
      </c>
      <c r="C200" t="s">
        <v>2140</v>
      </c>
      <c r="D200" t="s">
        <v>1375</v>
      </c>
      <c r="F200">
        <v>1030</v>
      </c>
      <c r="J200">
        <v>1</v>
      </c>
      <c r="L200" t="s">
        <v>876</v>
      </c>
      <c r="M200" t="s">
        <v>876</v>
      </c>
      <c r="N200" t="s">
        <v>876</v>
      </c>
      <c r="O200" t="s">
        <v>876</v>
      </c>
      <c r="P200" t="s">
        <v>876</v>
      </c>
    </row>
    <row r="201" spans="1:25" x14ac:dyDescent="0.2">
      <c r="A201" s="60" t="s">
        <v>2141</v>
      </c>
      <c r="B201" t="s">
        <v>2142</v>
      </c>
      <c r="C201" t="s">
        <v>2143</v>
      </c>
      <c r="D201" t="s">
        <v>866</v>
      </c>
      <c r="F201">
        <v>1032</v>
      </c>
      <c r="J201">
        <v>1</v>
      </c>
      <c r="L201" t="s">
        <v>876</v>
      </c>
      <c r="M201" t="s">
        <v>876</v>
      </c>
      <c r="N201" t="s">
        <v>876</v>
      </c>
      <c r="O201" t="s">
        <v>876</v>
      </c>
      <c r="P201" t="s">
        <v>876</v>
      </c>
    </row>
    <row r="202" spans="1:25" x14ac:dyDescent="0.2">
      <c r="A202" s="60" t="s">
        <v>2144</v>
      </c>
      <c r="B202" t="s">
        <v>2145</v>
      </c>
      <c r="C202" t="s">
        <v>2146</v>
      </c>
      <c r="D202" t="s">
        <v>1307</v>
      </c>
      <c r="F202">
        <v>1034</v>
      </c>
      <c r="J202">
        <v>1</v>
      </c>
      <c r="L202" t="s">
        <v>2147</v>
      </c>
      <c r="M202" t="s">
        <v>2148</v>
      </c>
      <c r="N202" t="s">
        <v>876</v>
      </c>
      <c r="O202" t="s">
        <v>1032</v>
      </c>
      <c r="P202" t="s">
        <v>1033</v>
      </c>
      <c r="T202">
        <v>10000</v>
      </c>
      <c r="U202">
        <v>10000</v>
      </c>
      <c r="V202">
        <v>10000</v>
      </c>
      <c r="W202">
        <v>10000</v>
      </c>
      <c r="X202">
        <v>0.27604166239861772</v>
      </c>
      <c r="Y202">
        <v>0.306272237832933</v>
      </c>
    </row>
    <row r="203" spans="1:25" x14ac:dyDescent="0.2">
      <c r="A203" s="60" t="s">
        <v>2149</v>
      </c>
      <c r="B203" t="s">
        <v>2150</v>
      </c>
      <c r="C203" t="s">
        <v>2151</v>
      </c>
      <c r="D203" t="s">
        <v>2152</v>
      </c>
      <c r="F203">
        <v>1037</v>
      </c>
      <c r="J203">
        <v>1</v>
      </c>
      <c r="K203">
        <v>1</v>
      </c>
      <c r="L203" t="s">
        <v>2153</v>
      </c>
      <c r="M203" t="s">
        <v>2154</v>
      </c>
      <c r="N203" t="s">
        <v>876</v>
      </c>
      <c r="O203" t="s">
        <v>678</v>
      </c>
      <c r="P203" t="s">
        <v>1643</v>
      </c>
      <c r="Q203">
        <v>1</v>
      </c>
      <c r="R203">
        <v>1</v>
      </c>
      <c r="S203">
        <v>1</v>
      </c>
      <c r="T203">
        <v>62.281286600000001</v>
      </c>
      <c r="U203">
        <v>62.436745430000002</v>
      </c>
      <c r="V203">
        <v>69.862509746540553</v>
      </c>
      <c r="W203">
        <v>70.029448378482741</v>
      </c>
      <c r="X203">
        <v>0.11763294269015821</v>
      </c>
      <c r="Y203">
        <v>0.16037665203703724</v>
      </c>
    </row>
    <row r="204" spans="1:25" x14ac:dyDescent="0.2">
      <c r="A204" s="60" t="s">
        <v>2155</v>
      </c>
      <c r="B204" t="s">
        <v>2156</v>
      </c>
      <c r="C204" t="s">
        <v>2157</v>
      </c>
      <c r="D204" t="s">
        <v>1307</v>
      </c>
      <c r="F204">
        <v>1051</v>
      </c>
      <c r="J204">
        <v>1</v>
      </c>
      <c r="L204" t="s">
        <v>2158</v>
      </c>
      <c r="M204" t="s">
        <v>2159</v>
      </c>
      <c r="N204" t="s">
        <v>876</v>
      </c>
      <c r="O204" t="s">
        <v>1032</v>
      </c>
      <c r="P204" t="s">
        <v>1033</v>
      </c>
      <c r="T204">
        <v>10000</v>
      </c>
      <c r="U204">
        <v>10000</v>
      </c>
      <c r="V204">
        <v>10000</v>
      </c>
      <c r="W204">
        <v>10000</v>
      </c>
      <c r="X204">
        <v>0.14164716492506904</v>
      </c>
      <c r="Y204">
        <v>0.17894736148258633</v>
      </c>
    </row>
    <row r="205" spans="1:25" x14ac:dyDescent="0.2">
      <c r="A205" s="60" t="s">
        <v>2160</v>
      </c>
      <c r="B205" t="s">
        <v>2161</v>
      </c>
      <c r="C205" t="s">
        <v>2162</v>
      </c>
      <c r="D205" t="s">
        <v>2152</v>
      </c>
      <c r="F205">
        <v>1250</v>
      </c>
      <c r="J205">
        <v>1</v>
      </c>
      <c r="L205" t="s">
        <v>2163</v>
      </c>
      <c r="M205" t="s">
        <v>811</v>
      </c>
      <c r="N205" t="s">
        <v>876</v>
      </c>
      <c r="O205" t="s">
        <v>671</v>
      </c>
      <c r="P205" t="s">
        <v>2164</v>
      </c>
      <c r="T205">
        <v>10.634701379999999</v>
      </c>
      <c r="U205">
        <v>8.4199354230000001</v>
      </c>
      <c r="V205">
        <v>11.523896435069513</v>
      </c>
      <c r="W205">
        <v>9.3010431145962578</v>
      </c>
      <c r="X205">
        <v>0.56984117870883377</v>
      </c>
      <c r="Y205">
        <v>0.64222009130905544</v>
      </c>
    </row>
    <row r="206" spans="1:25" x14ac:dyDescent="0.2">
      <c r="A206" s="60" t="s">
        <v>2165</v>
      </c>
      <c r="B206" t="s">
        <v>2166</v>
      </c>
      <c r="C206" t="s">
        <v>2167</v>
      </c>
      <c r="D206" t="s">
        <v>1318</v>
      </c>
      <c r="F206">
        <v>1264</v>
      </c>
      <c r="J206">
        <v>1</v>
      </c>
      <c r="L206" t="s">
        <v>2168</v>
      </c>
      <c r="M206" t="s">
        <v>2169</v>
      </c>
      <c r="N206" t="s">
        <v>876</v>
      </c>
      <c r="O206" t="s">
        <v>1032</v>
      </c>
      <c r="P206" t="s">
        <v>1033</v>
      </c>
      <c r="T206">
        <v>10000</v>
      </c>
      <c r="U206">
        <v>10000</v>
      </c>
      <c r="V206">
        <v>10000</v>
      </c>
      <c r="W206">
        <v>10000</v>
      </c>
      <c r="X206">
        <v>0.2812499943886117</v>
      </c>
      <c r="Y206">
        <v>0.33854166152650067</v>
      </c>
    </row>
    <row r="207" spans="1:25" x14ac:dyDescent="0.2">
      <c r="A207" s="60" t="s">
        <v>2170</v>
      </c>
      <c r="B207" t="s">
        <v>2171</v>
      </c>
      <c r="C207" t="s">
        <v>2172</v>
      </c>
      <c r="D207" t="s">
        <v>1297</v>
      </c>
      <c r="F207">
        <v>1933</v>
      </c>
      <c r="J207">
        <v>1</v>
      </c>
      <c r="L207" t="s">
        <v>2173</v>
      </c>
      <c r="M207" t="s">
        <v>2174</v>
      </c>
      <c r="N207" t="s">
        <v>876</v>
      </c>
      <c r="O207" t="s">
        <v>1032</v>
      </c>
      <c r="P207" t="s">
        <v>1033</v>
      </c>
      <c r="T207">
        <v>71.34976107</v>
      </c>
      <c r="U207">
        <v>10000</v>
      </c>
      <c r="V207">
        <v>101.34439055130741</v>
      </c>
      <c r="W207">
        <v>10000</v>
      </c>
      <c r="X207">
        <v>7.6102956796139973E-2</v>
      </c>
      <c r="Y207">
        <v>0.1302083305878666</v>
      </c>
    </row>
    <row r="208" spans="1:25" x14ac:dyDescent="0.2">
      <c r="A208" s="60" t="s">
        <v>2175</v>
      </c>
      <c r="B208" t="s">
        <v>2176</v>
      </c>
      <c r="C208" t="s">
        <v>2177</v>
      </c>
      <c r="D208" t="s">
        <v>1327</v>
      </c>
      <c r="F208">
        <v>1974</v>
      </c>
      <c r="J208">
        <v>1</v>
      </c>
      <c r="L208" t="s">
        <v>876</v>
      </c>
      <c r="M208" t="s">
        <v>876</v>
      </c>
      <c r="N208" t="s">
        <v>876</v>
      </c>
      <c r="O208" t="s">
        <v>876</v>
      </c>
      <c r="P208" t="s">
        <v>876</v>
      </c>
    </row>
    <row r="209" spans="1:25" x14ac:dyDescent="0.2">
      <c r="A209" s="60" t="s">
        <v>2178</v>
      </c>
      <c r="B209" t="s">
        <v>2179</v>
      </c>
      <c r="C209" t="s">
        <v>2180</v>
      </c>
      <c r="D209" t="s">
        <v>1307</v>
      </c>
      <c r="F209">
        <v>1991</v>
      </c>
      <c r="J209">
        <v>1</v>
      </c>
      <c r="L209" t="s">
        <v>2181</v>
      </c>
      <c r="M209" t="s">
        <v>878</v>
      </c>
      <c r="N209" t="s">
        <v>876</v>
      </c>
      <c r="O209" t="s">
        <v>1032</v>
      </c>
      <c r="P209" t="s">
        <v>1033</v>
      </c>
      <c r="S209">
        <v>1</v>
      </c>
      <c r="T209">
        <v>10000</v>
      </c>
      <c r="U209">
        <v>10000</v>
      </c>
      <c r="V209">
        <v>10000</v>
      </c>
      <c r="W209">
        <v>10000</v>
      </c>
      <c r="X209">
        <v>2.7027019816596751E-2</v>
      </c>
      <c r="Y209">
        <v>4.8648641951403497E-2</v>
      </c>
    </row>
    <row r="210" spans="1:25" x14ac:dyDescent="0.2">
      <c r="A210" s="60" t="s">
        <v>2182</v>
      </c>
      <c r="B210" t="s">
        <v>2183</v>
      </c>
      <c r="C210" t="s">
        <v>2184</v>
      </c>
      <c r="D210" t="s">
        <v>1318</v>
      </c>
      <c r="F210">
        <v>1992</v>
      </c>
      <c r="J210">
        <v>1</v>
      </c>
      <c r="L210" t="s">
        <v>2185</v>
      </c>
      <c r="M210" t="s">
        <v>2186</v>
      </c>
      <c r="N210" t="s">
        <v>876</v>
      </c>
      <c r="O210" t="s">
        <v>667</v>
      </c>
      <c r="P210" t="s">
        <v>1522</v>
      </c>
      <c r="T210">
        <v>540.15500889999998</v>
      </c>
      <c r="U210">
        <v>6.6021386360000003</v>
      </c>
      <c r="V210">
        <v>932.02959530210478</v>
      </c>
      <c r="W210">
        <v>7.4098030801244361</v>
      </c>
      <c r="X210">
        <v>0.1204188424249974</v>
      </c>
      <c r="Y210">
        <v>0.85348802242982647</v>
      </c>
    </row>
    <row r="211" spans="1:25" x14ac:dyDescent="0.2">
      <c r="A211" s="60" t="s">
        <v>2187</v>
      </c>
      <c r="B211" t="s">
        <v>2188</v>
      </c>
      <c r="C211" t="s">
        <v>2189</v>
      </c>
      <c r="D211" t="s">
        <v>2190</v>
      </c>
      <c r="F211">
        <v>300219</v>
      </c>
      <c r="J211">
        <v>1</v>
      </c>
      <c r="L211" t="s">
        <v>876</v>
      </c>
      <c r="M211" t="s">
        <v>876</v>
      </c>
      <c r="N211" t="s">
        <v>876</v>
      </c>
      <c r="O211" t="s">
        <v>876</v>
      </c>
      <c r="P211" t="s">
        <v>876</v>
      </c>
    </row>
    <row r="212" spans="1:25" x14ac:dyDescent="0.2">
      <c r="A212" s="60" t="s">
        <v>2191</v>
      </c>
      <c r="B212" t="s">
        <v>2192</v>
      </c>
      <c r="C212" t="s">
        <v>2193</v>
      </c>
      <c r="D212" t="s">
        <v>2194</v>
      </c>
      <c r="F212">
        <v>300222</v>
      </c>
      <c r="J212">
        <v>1</v>
      </c>
      <c r="L212" t="s">
        <v>876</v>
      </c>
      <c r="M212" t="s">
        <v>876</v>
      </c>
      <c r="N212" t="s">
        <v>876</v>
      </c>
      <c r="O212" t="s">
        <v>876</v>
      </c>
      <c r="P212" t="s">
        <v>876</v>
      </c>
    </row>
    <row r="213" spans="1:25" x14ac:dyDescent="0.2">
      <c r="A213" s="60" t="s">
        <v>2195</v>
      </c>
      <c r="B213" t="s">
        <v>2196</v>
      </c>
      <c r="C213" t="s">
        <v>2197</v>
      </c>
      <c r="D213" t="s">
        <v>1394</v>
      </c>
      <c r="F213">
        <v>300226</v>
      </c>
      <c r="J213">
        <v>1</v>
      </c>
      <c r="L213" t="s">
        <v>2198</v>
      </c>
      <c r="M213" t="s">
        <v>2199</v>
      </c>
      <c r="N213" t="s">
        <v>876</v>
      </c>
      <c r="O213" t="s">
        <v>2200</v>
      </c>
      <c r="P213" t="s">
        <v>2201</v>
      </c>
      <c r="Q213">
        <v>1</v>
      </c>
      <c r="R213">
        <v>1</v>
      </c>
      <c r="S213">
        <v>1</v>
      </c>
      <c r="T213">
        <v>5.371080053</v>
      </c>
      <c r="U213">
        <v>7.297113789</v>
      </c>
      <c r="V213">
        <v>26.235220893985939</v>
      </c>
      <c r="W213">
        <v>17.392430768648687</v>
      </c>
      <c r="X213">
        <v>0.56182502787297695</v>
      </c>
      <c r="Y213">
        <v>0.76241061258323761</v>
      </c>
    </row>
    <row r="214" spans="1:25" x14ac:dyDescent="0.2">
      <c r="A214" s="60" t="s">
        <v>2202</v>
      </c>
      <c r="B214" t="s">
        <v>2203</v>
      </c>
      <c r="C214" t="s">
        <v>2204</v>
      </c>
      <c r="D214" t="s">
        <v>1375</v>
      </c>
      <c r="F214">
        <v>300228</v>
      </c>
      <c r="J214">
        <v>1</v>
      </c>
      <c r="L214" t="s">
        <v>876</v>
      </c>
      <c r="M214" t="s">
        <v>876</v>
      </c>
      <c r="N214" t="s">
        <v>876</v>
      </c>
      <c r="O214" t="s">
        <v>876</v>
      </c>
      <c r="P214" t="s">
        <v>876</v>
      </c>
    </row>
    <row r="215" spans="1:25" x14ac:dyDescent="0.2">
      <c r="A215" s="60" t="s">
        <v>1076</v>
      </c>
      <c r="B215" t="s">
        <v>2205</v>
      </c>
      <c r="C215" t="s">
        <v>2206</v>
      </c>
      <c r="D215" t="s">
        <v>1514</v>
      </c>
      <c r="F215">
        <v>300229</v>
      </c>
      <c r="J215">
        <v>1</v>
      </c>
      <c r="L215" t="s">
        <v>876</v>
      </c>
      <c r="M215" t="s">
        <v>876</v>
      </c>
      <c r="N215" t="s">
        <v>876</v>
      </c>
      <c r="O215" t="s">
        <v>876</v>
      </c>
      <c r="P215" t="s">
        <v>876</v>
      </c>
    </row>
    <row r="216" spans="1:25" x14ac:dyDescent="0.2">
      <c r="A216" s="60" t="s">
        <v>2207</v>
      </c>
      <c r="B216" t="s">
        <v>2208</v>
      </c>
      <c r="C216" t="s">
        <v>2209</v>
      </c>
      <c r="D216" t="s">
        <v>1307</v>
      </c>
      <c r="F216">
        <v>300230</v>
      </c>
      <c r="J216">
        <v>1</v>
      </c>
      <c r="L216" t="s">
        <v>2210</v>
      </c>
      <c r="M216" t="s">
        <v>2211</v>
      </c>
      <c r="N216" t="s">
        <v>876</v>
      </c>
      <c r="O216" t="s">
        <v>1032</v>
      </c>
      <c r="P216" t="s">
        <v>1033</v>
      </c>
      <c r="T216">
        <v>135.78929890000001</v>
      </c>
      <c r="U216">
        <v>9.2355833109999992</v>
      </c>
      <c r="V216">
        <v>10000</v>
      </c>
      <c r="W216">
        <v>47.514933073969701</v>
      </c>
      <c r="X216">
        <v>0.1821519152961473</v>
      </c>
      <c r="Y216">
        <v>0.45663430257778653</v>
      </c>
    </row>
    <row r="217" spans="1:25" x14ac:dyDescent="0.2">
      <c r="A217" s="60" t="s">
        <v>832</v>
      </c>
      <c r="B217" t="s">
        <v>2212</v>
      </c>
      <c r="C217" t="s">
        <v>2213</v>
      </c>
      <c r="D217" t="s">
        <v>1318</v>
      </c>
      <c r="F217">
        <v>300235</v>
      </c>
      <c r="J217">
        <v>1</v>
      </c>
      <c r="L217" t="s">
        <v>2214</v>
      </c>
      <c r="M217" t="s">
        <v>2215</v>
      </c>
      <c r="N217" t="s">
        <v>876</v>
      </c>
      <c r="O217" t="s">
        <v>678</v>
      </c>
      <c r="P217" t="s">
        <v>2216</v>
      </c>
      <c r="R217">
        <v>1</v>
      </c>
      <c r="T217">
        <v>10000</v>
      </c>
      <c r="U217">
        <v>10000</v>
      </c>
      <c r="V217">
        <v>10000</v>
      </c>
      <c r="W217">
        <v>10000</v>
      </c>
      <c r="X217">
        <v>0.16145833400956305</v>
      </c>
      <c r="Y217">
        <v>0.19270832850504885</v>
      </c>
    </row>
    <row r="218" spans="1:25" x14ac:dyDescent="0.2">
      <c r="A218" s="60" t="s">
        <v>888</v>
      </c>
      <c r="B218" t="s">
        <v>2217</v>
      </c>
      <c r="C218" t="s">
        <v>2218</v>
      </c>
      <c r="D218" t="s">
        <v>1318</v>
      </c>
      <c r="F218">
        <v>300236</v>
      </c>
      <c r="J218">
        <v>1</v>
      </c>
      <c r="L218" t="s">
        <v>2219</v>
      </c>
      <c r="M218" t="s">
        <v>2220</v>
      </c>
      <c r="N218" t="s">
        <v>876</v>
      </c>
      <c r="O218" t="s">
        <v>667</v>
      </c>
      <c r="P218" t="s">
        <v>1522</v>
      </c>
      <c r="T218">
        <v>10000</v>
      </c>
      <c r="U218">
        <v>15.158268319999999</v>
      </c>
      <c r="V218">
        <v>10000</v>
      </c>
      <c r="W218">
        <v>19.22822601009398</v>
      </c>
      <c r="X218">
        <v>0.13020832529087253</v>
      </c>
      <c r="Y218">
        <v>0.742179357582608</v>
      </c>
    </row>
    <row r="219" spans="1:25" x14ac:dyDescent="0.2">
      <c r="A219" s="60" t="s">
        <v>891</v>
      </c>
      <c r="B219" t="s">
        <v>2221</v>
      </c>
      <c r="C219" t="s">
        <v>2222</v>
      </c>
      <c r="D219" t="s">
        <v>1297</v>
      </c>
      <c r="F219">
        <v>300237</v>
      </c>
      <c r="J219">
        <v>1</v>
      </c>
      <c r="L219" t="s">
        <v>2223</v>
      </c>
      <c r="M219" t="s">
        <v>2224</v>
      </c>
      <c r="N219" t="s">
        <v>876</v>
      </c>
      <c r="O219" t="s">
        <v>667</v>
      </c>
      <c r="P219" t="s">
        <v>1522</v>
      </c>
      <c r="T219">
        <v>60.792151650000001</v>
      </c>
      <c r="U219">
        <v>61.867843700000002</v>
      </c>
      <c r="V219">
        <v>84.42117202471789</v>
      </c>
      <c r="W219">
        <v>69.442710908982477</v>
      </c>
      <c r="X219">
        <v>0.11072530764800195</v>
      </c>
      <c r="Y219">
        <v>0.13743789405253393</v>
      </c>
    </row>
    <row r="220" spans="1:25" x14ac:dyDescent="0.2">
      <c r="A220" s="60" t="s">
        <v>2225</v>
      </c>
      <c r="B220" t="s">
        <v>2226</v>
      </c>
      <c r="C220" t="s">
        <v>2227</v>
      </c>
      <c r="D220" t="s">
        <v>1307</v>
      </c>
      <c r="F220">
        <v>300240</v>
      </c>
      <c r="J220">
        <v>1</v>
      </c>
      <c r="L220" t="s">
        <v>2228</v>
      </c>
      <c r="M220" t="s">
        <v>2229</v>
      </c>
      <c r="N220" t="s">
        <v>876</v>
      </c>
      <c r="O220" t="s">
        <v>1032</v>
      </c>
      <c r="P220" t="s">
        <v>1033</v>
      </c>
      <c r="T220">
        <v>10000</v>
      </c>
      <c r="U220">
        <v>10000</v>
      </c>
      <c r="V220">
        <v>10000</v>
      </c>
      <c r="W220">
        <v>10000</v>
      </c>
      <c r="X220">
        <v>0.22916666962102306</v>
      </c>
      <c r="Y220">
        <v>0.27083332729784854</v>
      </c>
    </row>
    <row r="221" spans="1:25" x14ac:dyDescent="0.2">
      <c r="A221" s="60" t="s">
        <v>666</v>
      </c>
      <c r="B221" t="s">
        <v>2230</v>
      </c>
      <c r="C221" t="s">
        <v>2231</v>
      </c>
      <c r="D221" t="s">
        <v>1297</v>
      </c>
      <c r="F221">
        <v>300245</v>
      </c>
      <c r="J221">
        <v>1</v>
      </c>
      <c r="L221" t="s">
        <v>2232</v>
      </c>
      <c r="M221" t="s">
        <v>1088</v>
      </c>
      <c r="N221" t="s">
        <v>876</v>
      </c>
      <c r="O221" t="s">
        <v>671</v>
      </c>
      <c r="P221" t="s">
        <v>1342</v>
      </c>
      <c r="Q221">
        <v>1</v>
      </c>
      <c r="T221">
        <v>10000</v>
      </c>
      <c r="U221">
        <v>4.4724132999999999E-2</v>
      </c>
      <c r="V221">
        <v>10000</v>
      </c>
      <c r="W221">
        <v>0.14837675224220978</v>
      </c>
      <c r="X221">
        <v>4.5138882695703271E-2</v>
      </c>
      <c r="Y221">
        <v>0.9978353209115457</v>
      </c>
    </row>
    <row r="222" spans="1:25" x14ac:dyDescent="0.2">
      <c r="A222" s="60" t="s">
        <v>834</v>
      </c>
      <c r="B222" t="s">
        <v>2233</v>
      </c>
      <c r="C222" t="s">
        <v>2234</v>
      </c>
      <c r="D222" t="s">
        <v>1318</v>
      </c>
      <c r="F222">
        <v>300246</v>
      </c>
      <c r="J222">
        <v>1</v>
      </c>
      <c r="L222" t="s">
        <v>2235</v>
      </c>
      <c r="M222" t="s">
        <v>2236</v>
      </c>
      <c r="N222" t="s">
        <v>876</v>
      </c>
      <c r="O222" t="s">
        <v>1032</v>
      </c>
      <c r="P222" t="s">
        <v>1033</v>
      </c>
      <c r="T222">
        <v>10000</v>
      </c>
      <c r="U222">
        <v>10000</v>
      </c>
      <c r="V222">
        <v>10000</v>
      </c>
      <c r="W222">
        <v>10000</v>
      </c>
      <c r="X222">
        <v>0.10624963285127599</v>
      </c>
      <c r="Y222">
        <v>0.15104165981840811</v>
      </c>
    </row>
    <row r="223" spans="1:25" x14ac:dyDescent="0.2">
      <c r="A223" s="60" t="s">
        <v>852</v>
      </c>
      <c r="B223" t="s">
        <v>2237</v>
      </c>
      <c r="C223" t="s">
        <v>2238</v>
      </c>
      <c r="D223" t="s">
        <v>1307</v>
      </c>
      <c r="F223">
        <v>300247</v>
      </c>
      <c r="J223">
        <v>1</v>
      </c>
      <c r="L223" t="s">
        <v>2239</v>
      </c>
      <c r="M223" t="s">
        <v>2240</v>
      </c>
      <c r="N223" t="s">
        <v>876</v>
      </c>
      <c r="O223" t="s">
        <v>1032</v>
      </c>
      <c r="P223" t="s">
        <v>1033</v>
      </c>
      <c r="T223">
        <v>14.18754566</v>
      </c>
      <c r="U223">
        <v>4.95290389</v>
      </c>
      <c r="V223">
        <v>10000</v>
      </c>
      <c r="W223">
        <v>164.73144023262424</v>
      </c>
      <c r="X223">
        <v>0.18287551089562074</v>
      </c>
      <c r="Y223">
        <v>0.33887145450897704</v>
      </c>
    </row>
    <row r="224" spans="1:25" x14ac:dyDescent="0.2">
      <c r="A224" s="60" t="s">
        <v>2241</v>
      </c>
      <c r="B224" t="s">
        <v>2242</v>
      </c>
      <c r="C224" t="s">
        <v>2243</v>
      </c>
      <c r="D224" t="s">
        <v>1375</v>
      </c>
      <c r="F224">
        <v>300249</v>
      </c>
      <c r="J224">
        <v>1</v>
      </c>
      <c r="L224" t="s">
        <v>876</v>
      </c>
      <c r="M224" t="s">
        <v>876</v>
      </c>
      <c r="N224" t="s">
        <v>876</v>
      </c>
      <c r="O224" t="s">
        <v>876</v>
      </c>
      <c r="P224" t="s">
        <v>876</v>
      </c>
    </row>
    <row r="225" spans="1:25" x14ac:dyDescent="0.2">
      <c r="A225" s="60" t="s">
        <v>2244</v>
      </c>
      <c r="B225" t="s">
        <v>2245</v>
      </c>
      <c r="C225" t="s">
        <v>2246</v>
      </c>
      <c r="D225" t="s">
        <v>1318</v>
      </c>
      <c r="F225">
        <v>300250</v>
      </c>
      <c r="J225">
        <v>1</v>
      </c>
      <c r="L225" t="s">
        <v>2247</v>
      </c>
      <c r="M225" t="s">
        <v>2248</v>
      </c>
      <c r="N225" t="s">
        <v>876</v>
      </c>
      <c r="O225" t="s">
        <v>667</v>
      </c>
      <c r="P225" t="s">
        <v>1522</v>
      </c>
      <c r="T225">
        <v>41.825599199999999</v>
      </c>
      <c r="U225">
        <v>22.310343249999999</v>
      </c>
      <c r="V225">
        <v>114.08669524675152</v>
      </c>
      <c r="W225">
        <v>109.81706709277165</v>
      </c>
      <c r="X225">
        <v>0.2148215873772919</v>
      </c>
      <c r="Y225">
        <v>0.31793763559493171</v>
      </c>
    </row>
    <row r="226" spans="1:25" x14ac:dyDescent="0.2">
      <c r="A226" s="60" t="s">
        <v>2249</v>
      </c>
      <c r="B226" t="s">
        <v>2250</v>
      </c>
      <c r="C226" t="s">
        <v>2251</v>
      </c>
      <c r="D226" t="s">
        <v>1297</v>
      </c>
      <c r="F226">
        <v>300251</v>
      </c>
      <c r="J226">
        <v>1</v>
      </c>
      <c r="L226" t="s">
        <v>2252</v>
      </c>
      <c r="M226" t="s">
        <v>2253</v>
      </c>
      <c r="N226" t="s">
        <v>876</v>
      </c>
      <c r="O226" t="s">
        <v>1032</v>
      </c>
      <c r="P226" t="s">
        <v>1033</v>
      </c>
      <c r="T226">
        <v>10000</v>
      </c>
      <c r="U226">
        <v>88.331337669999996</v>
      </c>
      <c r="V226">
        <v>10000</v>
      </c>
      <c r="W226">
        <v>152.92152263388104</v>
      </c>
      <c r="X226">
        <v>8.6972720399099174E-2</v>
      </c>
      <c r="Y226">
        <v>0.1090359969170845</v>
      </c>
    </row>
    <row r="227" spans="1:25" x14ac:dyDescent="0.2">
      <c r="A227" s="60" t="s">
        <v>2254</v>
      </c>
      <c r="B227" t="s">
        <v>2255</v>
      </c>
      <c r="C227" t="s">
        <v>2256</v>
      </c>
      <c r="D227" t="s">
        <v>1297</v>
      </c>
      <c r="F227">
        <v>300252</v>
      </c>
      <c r="J227">
        <v>1</v>
      </c>
      <c r="L227" t="s">
        <v>2257</v>
      </c>
      <c r="M227" t="s">
        <v>2258</v>
      </c>
      <c r="N227" t="s">
        <v>876</v>
      </c>
      <c r="O227" t="s">
        <v>1032</v>
      </c>
      <c r="P227" t="s">
        <v>1033</v>
      </c>
      <c r="T227">
        <v>11.981300429999999</v>
      </c>
      <c r="U227">
        <v>4.8958061060000002</v>
      </c>
      <c r="V227">
        <v>10000</v>
      </c>
      <c r="W227">
        <v>10000</v>
      </c>
      <c r="X227">
        <v>0.1324425145536921</v>
      </c>
      <c r="Y227">
        <v>0.16634361911729889</v>
      </c>
    </row>
    <row r="228" spans="1:25" x14ac:dyDescent="0.2">
      <c r="A228" s="60" t="s">
        <v>2259</v>
      </c>
      <c r="B228" t="s">
        <v>2260</v>
      </c>
      <c r="C228" t="s">
        <v>2261</v>
      </c>
      <c r="D228" t="s">
        <v>1297</v>
      </c>
      <c r="F228">
        <v>300253</v>
      </c>
      <c r="J228">
        <v>1</v>
      </c>
      <c r="L228" t="s">
        <v>2262</v>
      </c>
      <c r="M228" t="s">
        <v>2263</v>
      </c>
      <c r="N228" t="s">
        <v>876</v>
      </c>
      <c r="O228" t="s">
        <v>1032</v>
      </c>
      <c r="P228" t="s">
        <v>1033</v>
      </c>
      <c r="T228">
        <v>303.60506350000003</v>
      </c>
      <c r="U228">
        <v>48.337508069999998</v>
      </c>
      <c r="V228">
        <v>10000</v>
      </c>
      <c r="W228">
        <v>10000</v>
      </c>
      <c r="X228">
        <v>0.2048587575459446</v>
      </c>
      <c r="Y228">
        <v>0.28544764683246177</v>
      </c>
    </row>
    <row r="229" spans="1:25" x14ac:dyDescent="0.2">
      <c r="A229" s="60" t="s">
        <v>2264</v>
      </c>
      <c r="B229" t="s">
        <v>2265</v>
      </c>
      <c r="C229" t="s">
        <v>2266</v>
      </c>
      <c r="D229" t="s">
        <v>1327</v>
      </c>
      <c r="F229">
        <v>300266</v>
      </c>
      <c r="J229">
        <v>1</v>
      </c>
      <c r="L229" t="s">
        <v>876</v>
      </c>
      <c r="M229" t="s">
        <v>876</v>
      </c>
      <c r="N229" t="s">
        <v>876</v>
      </c>
      <c r="O229" t="s">
        <v>876</v>
      </c>
      <c r="P229" t="s">
        <v>876</v>
      </c>
    </row>
    <row r="230" spans="1:25" x14ac:dyDescent="0.2">
      <c r="A230" s="60" t="s">
        <v>2267</v>
      </c>
      <c r="B230" t="s">
        <v>2268</v>
      </c>
      <c r="C230" t="s">
        <v>2269</v>
      </c>
      <c r="D230" t="s">
        <v>1327</v>
      </c>
      <c r="F230">
        <v>300267</v>
      </c>
      <c r="J230">
        <v>1</v>
      </c>
      <c r="L230" t="s">
        <v>876</v>
      </c>
      <c r="M230" t="s">
        <v>876</v>
      </c>
      <c r="N230" t="s">
        <v>876</v>
      </c>
      <c r="O230" t="s">
        <v>876</v>
      </c>
      <c r="P230" t="s">
        <v>876</v>
      </c>
    </row>
    <row r="231" spans="1:25" x14ac:dyDescent="0.2">
      <c r="A231" s="60" t="s">
        <v>2270</v>
      </c>
      <c r="B231" t="s">
        <v>2271</v>
      </c>
      <c r="C231" t="s">
        <v>2272</v>
      </c>
      <c r="D231" t="s">
        <v>1327</v>
      </c>
      <c r="F231">
        <v>300268</v>
      </c>
      <c r="J231">
        <v>1</v>
      </c>
      <c r="L231" t="s">
        <v>876</v>
      </c>
      <c r="M231" t="s">
        <v>876</v>
      </c>
      <c r="N231" t="s">
        <v>876</v>
      </c>
      <c r="O231" t="s">
        <v>876</v>
      </c>
      <c r="P231" t="s">
        <v>876</v>
      </c>
    </row>
    <row r="232" spans="1:25" x14ac:dyDescent="0.2">
      <c r="A232" s="60" t="s">
        <v>2273</v>
      </c>
      <c r="B232" t="s">
        <v>2274</v>
      </c>
      <c r="C232" t="s">
        <v>2275</v>
      </c>
      <c r="D232" t="s">
        <v>1327</v>
      </c>
      <c r="F232">
        <v>300269</v>
      </c>
      <c r="J232">
        <v>1</v>
      </c>
      <c r="L232" t="s">
        <v>876</v>
      </c>
      <c r="M232" t="s">
        <v>876</v>
      </c>
      <c r="N232" t="s">
        <v>876</v>
      </c>
      <c r="O232" t="s">
        <v>876</v>
      </c>
      <c r="P232" t="s">
        <v>876</v>
      </c>
    </row>
    <row r="233" spans="1:25" x14ac:dyDescent="0.2">
      <c r="A233" s="60" t="s">
        <v>2276</v>
      </c>
      <c r="B233" t="s">
        <v>2277</v>
      </c>
      <c r="C233" t="s">
        <v>2278</v>
      </c>
      <c r="D233" t="s">
        <v>1327</v>
      </c>
      <c r="F233">
        <v>300270</v>
      </c>
      <c r="J233">
        <v>1</v>
      </c>
      <c r="L233" t="s">
        <v>876</v>
      </c>
      <c r="M233" t="s">
        <v>876</v>
      </c>
      <c r="N233" t="s">
        <v>876</v>
      </c>
      <c r="O233" t="s">
        <v>876</v>
      </c>
      <c r="P233" t="s">
        <v>876</v>
      </c>
    </row>
    <row r="234" spans="1:25" x14ac:dyDescent="0.2">
      <c r="A234" s="60" t="s">
        <v>2279</v>
      </c>
      <c r="B234" t="s">
        <v>2280</v>
      </c>
      <c r="C234" t="s">
        <v>2281</v>
      </c>
      <c r="D234" t="s">
        <v>1327</v>
      </c>
      <c r="F234">
        <v>300271</v>
      </c>
      <c r="J234">
        <v>1</v>
      </c>
      <c r="L234" t="s">
        <v>876</v>
      </c>
      <c r="M234" t="s">
        <v>876</v>
      </c>
      <c r="N234" t="s">
        <v>876</v>
      </c>
      <c r="O234" t="s">
        <v>876</v>
      </c>
      <c r="P234" t="s">
        <v>876</v>
      </c>
    </row>
    <row r="235" spans="1:25" x14ac:dyDescent="0.2">
      <c r="A235" s="60" t="s">
        <v>2282</v>
      </c>
      <c r="B235" t="s">
        <v>2283</v>
      </c>
      <c r="C235" t="s">
        <v>2284</v>
      </c>
      <c r="D235" t="s">
        <v>2285</v>
      </c>
      <c r="F235">
        <v>300272</v>
      </c>
      <c r="J235">
        <v>1</v>
      </c>
      <c r="L235" t="s">
        <v>876</v>
      </c>
      <c r="M235" t="s">
        <v>2286</v>
      </c>
      <c r="N235" t="s">
        <v>876</v>
      </c>
      <c r="O235" t="s">
        <v>876</v>
      </c>
      <c r="P235" t="s">
        <v>876</v>
      </c>
      <c r="R235">
        <v>1</v>
      </c>
      <c r="S235">
        <v>1</v>
      </c>
      <c r="T235">
        <v>0.53143526399999996</v>
      </c>
      <c r="U235">
        <v>0.168386491</v>
      </c>
      <c r="V235">
        <v>1.0994638004714261</v>
      </c>
      <c r="W235">
        <v>0.29250587712618337</v>
      </c>
      <c r="X235">
        <v>7.1418314680599018E-2</v>
      </c>
      <c r="Y235">
        <v>0.53650444354658222</v>
      </c>
    </row>
    <row r="236" spans="1:25" x14ac:dyDescent="0.2">
      <c r="A236" s="60" t="s">
        <v>2287</v>
      </c>
      <c r="B236" t="s">
        <v>2288</v>
      </c>
      <c r="C236" t="s">
        <v>2289</v>
      </c>
      <c r="D236" t="s">
        <v>2285</v>
      </c>
      <c r="F236">
        <v>300273</v>
      </c>
      <c r="J236">
        <v>1</v>
      </c>
      <c r="L236" t="s">
        <v>876</v>
      </c>
      <c r="M236" t="s">
        <v>735</v>
      </c>
      <c r="N236" t="s">
        <v>876</v>
      </c>
      <c r="O236" t="s">
        <v>876</v>
      </c>
      <c r="P236" t="s">
        <v>876</v>
      </c>
      <c r="T236">
        <v>97.571852840000005</v>
      </c>
      <c r="U236">
        <v>94.884100779999997</v>
      </c>
      <c r="V236">
        <v>104.25228170428615</v>
      </c>
      <c r="W236">
        <v>107.66793076570843</v>
      </c>
      <c r="X236">
        <v>0.10682685185173554</v>
      </c>
      <c r="Y236">
        <v>0.19679668846135179</v>
      </c>
    </row>
    <row r="237" spans="1:25" x14ac:dyDescent="0.2">
      <c r="A237" s="60" t="s">
        <v>2290</v>
      </c>
      <c r="B237" t="s">
        <v>2291</v>
      </c>
      <c r="C237" t="s">
        <v>2292</v>
      </c>
      <c r="D237" t="s">
        <v>1327</v>
      </c>
      <c r="F237">
        <v>300274</v>
      </c>
      <c r="J237">
        <v>1</v>
      </c>
      <c r="L237" t="s">
        <v>876</v>
      </c>
      <c r="M237" t="s">
        <v>876</v>
      </c>
      <c r="N237" t="s">
        <v>876</v>
      </c>
      <c r="O237" t="s">
        <v>876</v>
      </c>
      <c r="P237" t="s">
        <v>876</v>
      </c>
    </row>
    <row r="238" spans="1:25" x14ac:dyDescent="0.2">
      <c r="A238" s="60" t="s">
        <v>2293</v>
      </c>
      <c r="B238" t="s">
        <v>2294</v>
      </c>
      <c r="C238" t="s">
        <v>2295</v>
      </c>
      <c r="D238" t="s">
        <v>1327</v>
      </c>
      <c r="F238">
        <v>300275</v>
      </c>
      <c r="J238">
        <v>1</v>
      </c>
      <c r="L238" t="s">
        <v>876</v>
      </c>
      <c r="M238" t="s">
        <v>876</v>
      </c>
      <c r="N238" t="s">
        <v>876</v>
      </c>
      <c r="O238" t="s">
        <v>876</v>
      </c>
      <c r="P238" t="s">
        <v>876</v>
      </c>
    </row>
    <row r="239" spans="1:25" x14ac:dyDescent="0.2">
      <c r="A239" s="60" t="s">
        <v>2296</v>
      </c>
      <c r="B239" t="s">
        <v>2297</v>
      </c>
      <c r="C239" t="s">
        <v>2298</v>
      </c>
      <c r="D239" t="s">
        <v>1327</v>
      </c>
      <c r="F239">
        <v>300276</v>
      </c>
      <c r="J239">
        <v>1</v>
      </c>
      <c r="L239" t="s">
        <v>876</v>
      </c>
      <c r="M239" t="s">
        <v>876</v>
      </c>
      <c r="N239" t="s">
        <v>876</v>
      </c>
      <c r="O239" t="s">
        <v>876</v>
      </c>
      <c r="P239" t="s">
        <v>876</v>
      </c>
    </row>
    <row r="240" spans="1:25" x14ac:dyDescent="0.2">
      <c r="A240" s="60" t="s">
        <v>2299</v>
      </c>
      <c r="B240" t="s">
        <v>2300</v>
      </c>
      <c r="C240" t="s">
        <v>2301</v>
      </c>
      <c r="D240" t="s">
        <v>2285</v>
      </c>
      <c r="F240">
        <v>300277</v>
      </c>
      <c r="J240">
        <v>1</v>
      </c>
      <c r="L240" t="s">
        <v>876</v>
      </c>
      <c r="M240" t="s">
        <v>2302</v>
      </c>
      <c r="N240" t="s">
        <v>876</v>
      </c>
      <c r="O240" t="s">
        <v>876</v>
      </c>
      <c r="P240" t="s">
        <v>876</v>
      </c>
      <c r="T240">
        <v>121.9742895</v>
      </c>
      <c r="U240">
        <v>90.420487899999998</v>
      </c>
      <c r="V240">
        <v>450.18540788799919</v>
      </c>
      <c r="W240">
        <v>237.8375778778836</v>
      </c>
      <c r="X240">
        <v>7.9170653760802442E-2</v>
      </c>
      <c r="Y240">
        <v>0.10064186138683333</v>
      </c>
    </row>
    <row r="241" spans="1:25" x14ac:dyDescent="0.2">
      <c r="A241" s="60" t="s">
        <v>2303</v>
      </c>
      <c r="B241" t="s">
        <v>2304</v>
      </c>
      <c r="C241" t="s">
        <v>2305</v>
      </c>
      <c r="D241" t="s">
        <v>1327</v>
      </c>
      <c r="F241">
        <v>300278</v>
      </c>
      <c r="J241">
        <v>1</v>
      </c>
      <c r="L241" t="s">
        <v>876</v>
      </c>
      <c r="M241" t="s">
        <v>876</v>
      </c>
      <c r="N241" t="s">
        <v>876</v>
      </c>
      <c r="O241" t="s">
        <v>876</v>
      </c>
      <c r="P241" t="s">
        <v>876</v>
      </c>
    </row>
    <row r="242" spans="1:25" x14ac:dyDescent="0.2">
      <c r="A242" s="60" t="s">
        <v>2306</v>
      </c>
      <c r="B242" t="s">
        <v>2307</v>
      </c>
      <c r="C242" t="s">
        <v>2308</v>
      </c>
      <c r="D242" t="s">
        <v>1327</v>
      </c>
      <c r="F242">
        <v>300279</v>
      </c>
      <c r="J242">
        <v>1</v>
      </c>
      <c r="L242" t="s">
        <v>876</v>
      </c>
      <c r="M242" t="s">
        <v>876</v>
      </c>
      <c r="N242" t="s">
        <v>876</v>
      </c>
      <c r="O242" t="s">
        <v>876</v>
      </c>
      <c r="P242" t="s">
        <v>876</v>
      </c>
    </row>
    <row r="243" spans="1:25" x14ac:dyDescent="0.2">
      <c r="A243" s="60" t="s">
        <v>2309</v>
      </c>
      <c r="B243" t="s">
        <v>2310</v>
      </c>
      <c r="C243" t="s">
        <v>2311</v>
      </c>
      <c r="D243" t="s">
        <v>1327</v>
      </c>
      <c r="F243">
        <v>300280</v>
      </c>
      <c r="J243">
        <v>1</v>
      </c>
      <c r="L243" t="s">
        <v>876</v>
      </c>
      <c r="M243" t="s">
        <v>876</v>
      </c>
      <c r="N243" t="s">
        <v>876</v>
      </c>
      <c r="O243" t="s">
        <v>876</v>
      </c>
      <c r="P243" t="s">
        <v>876</v>
      </c>
    </row>
    <row r="244" spans="1:25" x14ac:dyDescent="0.2">
      <c r="A244" s="60" t="s">
        <v>2312</v>
      </c>
      <c r="B244" t="s">
        <v>2313</v>
      </c>
      <c r="C244" t="s">
        <v>2314</v>
      </c>
      <c r="D244" t="s">
        <v>1327</v>
      </c>
      <c r="F244">
        <v>300281</v>
      </c>
      <c r="J244">
        <v>1</v>
      </c>
      <c r="L244" t="s">
        <v>876</v>
      </c>
      <c r="M244" t="s">
        <v>876</v>
      </c>
      <c r="N244" t="s">
        <v>876</v>
      </c>
      <c r="O244" t="s">
        <v>876</v>
      </c>
      <c r="P244" t="s">
        <v>876</v>
      </c>
    </row>
    <row r="245" spans="1:25" x14ac:dyDescent="0.2">
      <c r="A245" s="60" t="s">
        <v>2315</v>
      </c>
      <c r="B245" t="s">
        <v>2316</v>
      </c>
      <c r="C245" t="s">
        <v>2317</v>
      </c>
      <c r="D245" t="s">
        <v>1327</v>
      </c>
      <c r="F245">
        <v>300282</v>
      </c>
      <c r="J245">
        <v>1</v>
      </c>
      <c r="L245" t="s">
        <v>876</v>
      </c>
      <c r="M245" t="s">
        <v>876</v>
      </c>
      <c r="N245" t="s">
        <v>876</v>
      </c>
      <c r="O245" t="s">
        <v>876</v>
      </c>
      <c r="P245" t="s">
        <v>876</v>
      </c>
    </row>
    <row r="246" spans="1:25" x14ac:dyDescent="0.2">
      <c r="A246" s="60" t="s">
        <v>2318</v>
      </c>
      <c r="B246" t="s">
        <v>2319</v>
      </c>
      <c r="C246" t="s">
        <v>2320</v>
      </c>
      <c r="D246" t="s">
        <v>2285</v>
      </c>
      <c r="F246">
        <v>300283</v>
      </c>
      <c r="J246">
        <v>1</v>
      </c>
      <c r="L246" t="s">
        <v>876</v>
      </c>
      <c r="M246" t="s">
        <v>2321</v>
      </c>
      <c r="N246" t="s">
        <v>876</v>
      </c>
      <c r="O246" t="s">
        <v>876</v>
      </c>
      <c r="P246" t="s">
        <v>876</v>
      </c>
      <c r="R246">
        <v>1</v>
      </c>
      <c r="T246">
        <v>10000</v>
      </c>
      <c r="U246">
        <v>10000</v>
      </c>
      <c r="V246">
        <v>10000</v>
      </c>
      <c r="W246">
        <v>10000</v>
      </c>
      <c r="X246">
        <v>6.2629102370073964E-2</v>
      </c>
      <c r="Y246">
        <v>7.7279384070253532E-2</v>
      </c>
    </row>
    <row r="247" spans="1:25" x14ac:dyDescent="0.2">
      <c r="A247" s="60" t="s">
        <v>2321</v>
      </c>
      <c r="B247" t="s">
        <v>2322</v>
      </c>
      <c r="C247" t="s">
        <v>2323</v>
      </c>
      <c r="D247" t="s">
        <v>1327</v>
      </c>
      <c r="F247">
        <v>300284</v>
      </c>
      <c r="J247">
        <v>1</v>
      </c>
      <c r="L247" t="s">
        <v>876</v>
      </c>
      <c r="M247" t="s">
        <v>876</v>
      </c>
      <c r="N247" t="s">
        <v>876</v>
      </c>
      <c r="O247" t="s">
        <v>876</v>
      </c>
      <c r="P247" t="s">
        <v>876</v>
      </c>
    </row>
    <row r="248" spans="1:25" x14ac:dyDescent="0.2">
      <c r="A248" s="60" t="s">
        <v>2324</v>
      </c>
      <c r="B248" t="s">
        <v>2325</v>
      </c>
      <c r="C248" t="s">
        <v>2326</v>
      </c>
      <c r="D248" t="s">
        <v>1327</v>
      </c>
      <c r="F248">
        <v>300285</v>
      </c>
      <c r="J248">
        <v>1</v>
      </c>
      <c r="L248" t="s">
        <v>876</v>
      </c>
      <c r="M248" t="s">
        <v>876</v>
      </c>
      <c r="N248" t="s">
        <v>876</v>
      </c>
      <c r="O248" t="s">
        <v>876</v>
      </c>
      <c r="P248" t="s">
        <v>876</v>
      </c>
      <c r="R248">
        <v>1</v>
      </c>
    </row>
    <row r="249" spans="1:25" x14ac:dyDescent="0.2">
      <c r="A249" s="60" t="s">
        <v>2327</v>
      </c>
      <c r="B249" t="s">
        <v>2328</v>
      </c>
      <c r="C249" t="s">
        <v>2329</v>
      </c>
      <c r="D249" t="s">
        <v>1327</v>
      </c>
      <c r="F249">
        <v>300286</v>
      </c>
      <c r="J249">
        <v>1</v>
      </c>
      <c r="L249" t="s">
        <v>876</v>
      </c>
      <c r="M249" t="s">
        <v>876</v>
      </c>
      <c r="N249" t="s">
        <v>876</v>
      </c>
      <c r="O249" t="s">
        <v>876</v>
      </c>
      <c r="P249" t="s">
        <v>876</v>
      </c>
    </row>
    <row r="250" spans="1:25" x14ac:dyDescent="0.2">
      <c r="A250" s="60" t="s">
        <v>2330</v>
      </c>
      <c r="B250" t="s">
        <v>2331</v>
      </c>
      <c r="C250" t="s">
        <v>2332</v>
      </c>
      <c r="D250" t="s">
        <v>2285</v>
      </c>
      <c r="F250">
        <v>300288</v>
      </c>
      <c r="J250">
        <v>1</v>
      </c>
      <c r="L250" t="s">
        <v>876</v>
      </c>
      <c r="M250" t="s">
        <v>2333</v>
      </c>
      <c r="N250" t="s">
        <v>876</v>
      </c>
      <c r="O250" t="s">
        <v>876</v>
      </c>
      <c r="P250" t="s">
        <v>876</v>
      </c>
      <c r="T250">
        <v>9.9999999999999995E-7</v>
      </c>
      <c r="U250">
        <v>10000</v>
      </c>
      <c r="V250">
        <v>10000</v>
      </c>
      <c r="W250">
        <v>10000</v>
      </c>
      <c r="X250">
        <v>0.19034226210876601</v>
      </c>
      <c r="Y250">
        <v>0.22614565033944989</v>
      </c>
    </row>
    <row r="251" spans="1:25" x14ac:dyDescent="0.2">
      <c r="A251" s="60" t="s">
        <v>2334</v>
      </c>
      <c r="B251" t="s">
        <v>2335</v>
      </c>
      <c r="C251" t="s">
        <v>2336</v>
      </c>
      <c r="D251" t="s">
        <v>1327</v>
      </c>
      <c r="F251">
        <v>300289</v>
      </c>
      <c r="J251">
        <v>1</v>
      </c>
      <c r="L251" t="s">
        <v>876</v>
      </c>
      <c r="M251" t="s">
        <v>876</v>
      </c>
      <c r="N251" t="s">
        <v>876</v>
      </c>
      <c r="O251" t="s">
        <v>876</v>
      </c>
      <c r="P251" t="s">
        <v>876</v>
      </c>
    </row>
    <row r="252" spans="1:25" x14ac:dyDescent="0.2">
      <c r="A252" s="60" t="s">
        <v>2337</v>
      </c>
      <c r="B252" t="s">
        <v>2338</v>
      </c>
      <c r="C252" t="s">
        <v>2339</v>
      </c>
      <c r="D252" t="s">
        <v>1327</v>
      </c>
      <c r="F252">
        <v>300379</v>
      </c>
      <c r="J252">
        <v>1</v>
      </c>
      <c r="L252" t="s">
        <v>876</v>
      </c>
      <c r="M252" t="s">
        <v>876</v>
      </c>
      <c r="N252" t="s">
        <v>876</v>
      </c>
      <c r="O252" t="s">
        <v>876</v>
      </c>
      <c r="P252" t="s">
        <v>876</v>
      </c>
    </row>
    <row r="253" spans="1:25" x14ac:dyDescent="0.2">
      <c r="A253" s="60" t="s">
        <v>2340</v>
      </c>
      <c r="B253" t="s">
        <v>2341</v>
      </c>
      <c r="C253" t="s">
        <v>2342</v>
      </c>
      <c r="D253" t="s">
        <v>1327</v>
      </c>
      <c r="F253">
        <v>300432</v>
      </c>
      <c r="J253">
        <v>1</v>
      </c>
      <c r="L253" t="s">
        <v>876</v>
      </c>
      <c r="M253" t="s">
        <v>876</v>
      </c>
      <c r="N253" t="s">
        <v>876</v>
      </c>
      <c r="O253" t="s">
        <v>876</v>
      </c>
      <c r="P253" t="s">
        <v>876</v>
      </c>
    </row>
    <row r="254" spans="1:25" x14ac:dyDescent="0.2">
      <c r="A254" s="60" t="s">
        <v>2343</v>
      </c>
      <c r="B254" t="s">
        <v>2344</v>
      </c>
      <c r="C254" t="s">
        <v>2345</v>
      </c>
      <c r="D254" t="s">
        <v>1327</v>
      </c>
      <c r="F254">
        <v>300433</v>
      </c>
      <c r="J254">
        <v>1</v>
      </c>
      <c r="L254" t="s">
        <v>876</v>
      </c>
      <c r="M254" t="s">
        <v>876</v>
      </c>
      <c r="N254" t="s">
        <v>876</v>
      </c>
      <c r="O254" t="s">
        <v>876</v>
      </c>
      <c r="P254" t="s">
        <v>876</v>
      </c>
    </row>
    <row r="255" spans="1:25" x14ac:dyDescent="0.2">
      <c r="A255" s="60" t="s">
        <v>2346</v>
      </c>
      <c r="B255" t="s">
        <v>2347</v>
      </c>
      <c r="C255" t="s">
        <v>2348</v>
      </c>
      <c r="D255" t="s">
        <v>1327</v>
      </c>
      <c r="F255">
        <v>300435</v>
      </c>
      <c r="J255">
        <v>1</v>
      </c>
      <c r="L255" t="s">
        <v>876</v>
      </c>
      <c r="M255" t="s">
        <v>876</v>
      </c>
      <c r="N255" t="s">
        <v>876</v>
      </c>
      <c r="O255" t="s">
        <v>876</v>
      </c>
      <c r="P255" t="s">
        <v>876</v>
      </c>
    </row>
    <row r="256" spans="1:25" x14ac:dyDescent="0.2">
      <c r="A256" s="60" t="s">
        <v>2349</v>
      </c>
      <c r="B256" t="s">
        <v>2350</v>
      </c>
      <c r="C256" t="s">
        <v>2351</v>
      </c>
      <c r="D256" t="s">
        <v>1327</v>
      </c>
      <c r="F256">
        <v>300436</v>
      </c>
      <c r="J256">
        <v>1</v>
      </c>
      <c r="L256" t="s">
        <v>876</v>
      </c>
      <c r="M256" t="s">
        <v>876</v>
      </c>
      <c r="N256" t="s">
        <v>876</v>
      </c>
      <c r="O256" t="s">
        <v>876</v>
      </c>
      <c r="P256" t="s">
        <v>876</v>
      </c>
    </row>
    <row r="257" spans="1:25" x14ac:dyDescent="0.2">
      <c r="A257" s="60" t="s">
        <v>2352</v>
      </c>
      <c r="B257" t="s">
        <v>2353</v>
      </c>
      <c r="C257" t="s">
        <v>2354</v>
      </c>
      <c r="D257" t="s">
        <v>1327</v>
      </c>
      <c r="F257">
        <v>300437</v>
      </c>
      <c r="J257">
        <v>1</v>
      </c>
      <c r="L257" t="s">
        <v>876</v>
      </c>
      <c r="M257" t="s">
        <v>876</v>
      </c>
      <c r="N257" t="s">
        <v>876</v>
      </c>
      <c r="O257" t="s">
        <v>876</v>
      </c>
      <c r="P257" t="s">
        <v>876</v>
      </c>
    </row>
    <row r="258" spans="1:25" x14ac:dyDescent="0.2">
      <c r="A258" s="60" t="s">
        <v>2355</v>
      </c>
      <c r="B258" t="s">
        <v>2356</v>
      </c>
      <c r="C258" t="s">
        <v>2357</v>
      </c>
      <c r="D258" t="s">
        <v>1327</v>
      </c>
      <c r="F258">
        <v>300438</v>
      </c>
      <c r="J258">
        <v>1</v>
      </c>
      <c r="L258" t="s">
        <v>876</v>
      </c>
      <c r="M258" t="s">
        <v>876</v>
      </c>
      <c r="N258" t="s">
        <v>876</v>
      </c>
      <c r="O258" t="s">
        <v>876</v>
      </c>
      <c r="P258" t="s">
        <v>876</v>
      </c>
    </row>
    <row r="259" spans="1:25" x14ac:dyDescent="0.2">
      <c r="A259" s="60" t="s">
        <v>1347</v>
      </c>
      <c r="B259" t="s">
        <v>2358</v>
      </c>
      <c r="C259" t="s">
        <v>2359</v>
      </c>
      <c r="D259" t="s">
        <v>1327</v>
      </c>
      <c r="F259">
        <v>300440</v>
      </c>
      <c r="J259">
        <v>1</v>
      </c>
      <c r="L259" t="s">
        <v>876</v>
      </c>
      <c r="M259" t="s">
        <v>876</v>
      </c>
      <c r="N259" t="s">
        <v>876</v>
      </c>
      <c r="O259" t="s">
        <v>876</v>
      </c>
      <c r="P259" t="s">
        <v>876</v>
      </c>
    </row>
    <row r="260" spans="1:25" x14ac:dyDescent="0.2">
      <c r="A260" s="60" t="s">
        <v>1356</v>
      </c>
      <c r="B260" t="s">
        <v>2360</v>
      </c>
      <c r="C260" t="s">
        <v>2361</v>
      </c>
      <c r="D260" t="s">
        <v>1327</v>
      </c>
      <c r="F260">
        <v>300441</v>
      </c>
      <c r="J260">
        <v>1</v>
      </c>
      <c r="L260" t="s">
        <v>876</v>
      </c>
      <c r="M260" t="s">
        <v>2312</v>
      </c>
      <c r="N260" t="s">
        <v>876</v>
      </c>
      <c r="O260" t="s">
        <v>876</v>
      </c>
      <c r="P260" t="s">
        <v>876</v>
      </c>
      <c r="T260">
        <v>72.584623570000005</v>
      </c>
      <c r="U260">
        <v>56.50722991</v>
      </c>
      <c r="V260">
        <v>108.06982403626495</v>
      </c>
      <c r="W260">
        <v>109.43117860733756</v>
      </c>
      <c r="X260">
        <v>0.10523412734554585</v>
      </c>
      <c r="Y260">
        <v>0.16019084783173415</v>
      </c>
    </row>
    <row r="261" spans="1:25" x14ac:dyDescent="0.2">
      <c r="A261" s="60" t="s">
        <v>2362</v>
      </c>
      <c r="B261" t="s">
        <v>2363</v>
      </c>
      <c r="C261" t="s">
        <v>2364</v>
      </c>
      <c r="D261" t="s">
        <v>1327</v>
      </c>
      <c r="F261">
        <v>300442</v>
      </c>
      <c r="J261">
        <v>1</v>
      </c>
      <c r="L261" t="s">
        <v>876</v>
      </c>
      <c r="M261" t="s">
        <v>876</v>
      </c>
      <c r="N261" t="s">
        <v>876</v>
      </c>
      <c r="O261" t="s">
        <v>876</v>
      </c>
      <c r="P261" t="s">
        <v>876</v>
      </c>
    </row>
    <row r="262" spans="1:25" x14ac:dyDescent="0.2">
      <c r="A262" s="60" t="s">
        <v>2365</v>
      </c>
      <c r="B262" t="s">
        <v>2366</v>
      </c>
      <c r="C262" t="s">
        <v>2367</v>
      </c>
      <c r="D262" t="s">
        <v>1297</v>
      </c>
      <c r="F262">
        <v>300604</v>
      </c>
      <c r="J262">
        <v>1</v>
      </c>
      <c r="L262" t="s">
        <v>2368</v>
      </c>
      <c r="M262" t="s">
        <v>2369</v>
      </c>
      <c r="N262" t="s">
        <v>876</v>
      </c>
      <c r="O262" t="s">
        <v>1032</v>
      </c>
      <c r="P262" t="s">
        <v>1033</v>
      </c>
      <c r="T262">
        <v>10000</v>
      </c>
      <c r="U262">
        <v>86.968640179999994</v>
      </c>
      <c r="V262">
        <v>10000</v>
      </c>
      <c r="W262">
        <v>96.548709040422935</v>
      </c>
      <c r="X262">
        <v>0.13541665844956488</v>
      </c>
      <c r="Y262">
        <v>0.15624944249704553</v>
      </c>
    </row>
    <row r="263" spans="1:25" x14ac:dyDescent="0.2">
      <c r="A263" s="60" t="s">
        <v>2370</v>
      </c>
      <c r="B263" t="s">
        <v>2371</v>
      </c>
      <c r="C263" t="s">
        <v>2372</v>
      </c>
      <c r="D263" t="s">
        <v>1375</v>
      </c>
      <c r="F263">
        <v>300605</v>
      </c>
      <c r="J263">
        <v>1</v>
      </c>
      <c r="L263" t="s">
        <v>876</v>
      </c>
      <c r="M263" t="s">
        <v>876</v>
      </c>
      <c r="N263" t="s">
        <v>876</v>
      </c>
      <c r="O263" t="s">
        <v>876</v>
      </c>
      <c r="P263" t="s">
        <v>876</v>
      </c>
      <c r="Q263">
        <v>1</v>
      </c>
      <c r="S263">
        <v>1</v>
      </c>
    </row>
    <row r="264" spans="1:25" x14ac:dyDescent="0.2">
      <c r="A264" s="60" t="s">
        <v>2373</v>
      </c>
      <c r="B264" t="s">
        <v>2374</v>
      </c>
      <c r="C264" t="s">
        <v>2375</v>
      </c>
      <c r="D264" t="s">
        <v>1375</v>
      </c>
      <c r="F264">
        <v>300628</v>
      </c>
      <c r="J264">
        <v>1</v>
      </c>
      <c r="L264" t="s">
        <v>876</v>
      </c>
      <c r="M264" t="s">
        <v>876</v>
      </c>
      <c r="N264" t="s">
        <v>876</v>
      </c>
      <c r="O264" t="s">
        <v>876</v>
      </c>
      <c r="P264" t="s">
        <v>876</v>
      </c>
    </row>
    <row r="265" spans="1:25" x14ac:dyDescent="0.2">
      <c r="A265" s="60" t="s">
        <v>2376</v>
      </c>
      <c r="B265" t="s">
        <v>2377</v>
      </c>
      <c r="C265" t="s">
        <v>2378</v>
      </c>
      <c r="D265" t="s">
        <v>1327</v>
      </c>
      <c r="F265">
        <v>300629</v>
      </c>
      <c r="J265">
        <v>1</v>
      </c>
      <c r="L265" t="s">
        <v>876</v>
      </c>
      <c r="M265" t="s">
        <v>876</v>
      </c>
      <c r="N265" t="s">
        <v>876</v>
      </c>
      <c r="O265" t="s">
        <v>876</v>
      </c>
      <c r="P265" t="s">
        <v>876</v>
      </c>
    </row>
    <row r="266" spans="1:25" x14ac:dyDescent="0.2">
      <c r="A266" s="60" t="s">
        <v>1361</v>
      </c>
      <c r="B266" t="s">
        <v>2379</v>
      </c>
      <c r="C266" t="s">
        <v>2380</v>
      </c>
      <c r="D266" t="s">
        <v>1297</v>
      </c>
      <c r="F266">
        <v>300631</v>
      </c>
      <c r="J266">
        <v>1</v>
      </c>
      <c r="L266" t="s">
        <v>2381</v>
      </c>
      <c r="M266" t="s">
        <v>2382</v>
      </c>
      <c r="N266" t="s">
        <v>876</v>
      </c>
      <c r="O266" t="s">
        <v>1032</v>
      </c>
      <c r="P266" t="s">
        <v>1033</v>
      </c>
      <c r="T266">
        <v>6.72443E-4</v>
      </c>
      <c r="U266">
        <v>0.49312023999999999</v>
      </c>
      <c r="V266">
        <v>10000</v>
      </c>
      <c r="W266">
        <v>1.8543054398242089</v>
      </c>
      <c r="X266">
        <v>0.34282206857441599</v>
      </c>
      <c r="Y266">
        <v>0.94868352687187385</v>
      </c>
    </row>
    <row r="267" spans="1:25" x14ac:dyDescent="0.2">
      <c r="A267" s="60" t="s">
        <v>2383</v>
      </c>
      <c r="B267" t="s">
        <v>2384</v>
      </c>
      <c r="C267" t="s">
        <v>2385</v>
      </c>
      <c r="D267" t="s">
        <v>1375</v>
      </c>
      <c r="F267">
        <v>300636</v>
      </c>
      <c r="J267">
        <v>1</v>
      </c>
      <c r="L267" t="s">
        <v>876</v>
      </c>
      <c r="M267" t="s">
        <v>876</v>
      </c>
      <c r="N267" t="s">
        <v>876</v>
      </c>
      <c r="O267" t="s">
        <v>876</v>
      </c>
      <c r="P267" t="s">
        <v>876</v>
      </c>
    </row>
    <row r="268" spans="1:25" x14ac:dyDescent="0.2">
      <c r="A268" s="60" t="s">
        <v>1367</v>
      </c>
      <c r="B268" t="s">
        <v>2386</v>
      </c>
      <c r="C268" t="s">
        <v>2387</v>
      </c>
      <c r="D268" t="s">
        <v>1318</v>
      </c>
      <c r="F268">
        <v>300638</v>
      </c>
      <c r="J268">
        <v>1</v>
      </c>
      <c r="L268" t="s">
        <v>2388</v>
      </c>
      <c r="M268" t="s">
        <v>2389</v>
      </c>
      <c r="N268" t="s">
        <v>876</v>
      </c>
      <c r="O268" t="s">
        <v>667</v>
      </c>
      <c r="P268" t="s">
        <v>1522</v>
      </c>
      <c r="T268">
        <v>10000</v>
      </c>
      <c r="U268">
        <v>20.374023999999999</v>
      </c>
      <c r="V268">
        <v>10000</v>
      </c>
      <c r="W268">
        <v>24.624777735298906</v>
      </c>
      <c r="X268">
        <v>7.8124996568794403E-2</v>
      </c>
      <c r="Y268">
        <v>0.6671468744165634</v>
      </c>
    </row>
    <row r="269" spans="1:25" x14ac:dyDescent="0.2">
      <c r="A269" s="60" t="s">
        <v>2390</v>
      </c>
      <c r="B269" t="s">
        <v>2391</v>
      </c>
      <c r="C269" t="s">
        <v>2392</v>
      </c>
      <c r="D269" t="s">
        <v>2152</v>
      </c>
      <c r="F269">
        <v>300639</v>
      </c>
      <c r="J269">
        <v>1</v>
      </c>
      <c r="L269" t="s">
        <v>2393</v>
      </c>
      <c r="M269" t="s">
        <v>2394</v>
      </c>
      <c r="N269" t="s">
        <v>876</v>
      </c>
      <c r="O269" t="s">
        <v>667</v>
      </c>
      <c r="P269" t="s">
        <v>2028</v>
      </c>
      <c r="Q269">
        <v>1</v>
      </c>
      <c r="R269">
        <v>1</v>
      </c>
      <c r="S269">
        <v>1</v>
      </c>
      <c r="T269">
        <v>47.301118049999999</v>
      </c>
      <c r="U269">
        <v>55.596710280000003</v>
      </c>
      <c r="V269">
        <v>854.45048957600352</v>
      </c>
      <c r="W269">
        <v>80.511945665315281</v>
      </c>
      <c r="X269">
        <v>0.26332084727414495</v>
      </c>
      <c r="Y269">
        <v>0.2748726429746996</v>
      </c>
    </row>
    <row r="270" spans="1:25" x14ac:dyDescent="0.2">
      <c r="A270" s="60" t="s">
        <v>2395</v>
      </c>
      <c r="B270" t="s">
        <v>2396</v>
      </c>
      <c r="C270" t="s">
        <v>2397</v>
      </c>
      <c r="D270" t="s">
        <v>1307</v>
      </c>
      <c r="F270">
        <v>300640</v>
      </c>
      <c r="J270">
        <v>1</v>
      </c>
      <c r="L270" t="s">
        <v>2398</v>
      </c>
      <c r="M270" t="s">
        <v>2399</v>
      </c>
      <c r="N270" t="s">
        <v>876</v>
      </c>
      <c r="O270" t="s">
        <v>1032</v>
      </c>
      <c r="P270" t="s">
        <v>1033</v>
      </c>
      <c r="T270">
        <v>2.2599100000000001E-4</v>
      </c>
      <c r="U270">
        <v>1.12958E-4</v>
      </c>
      <c r="V270">
        <v>10000</v>
      </c>
      <c r="W270">
        <v>10000</v>
      </c>
      <c r="X270">
        <v>0.17113059359380289</v>
      </c>
      <c r="Y270">
        <v>0.20249977376677258</v>
      </c>
    </row>
    <row r="271" spans="1:25" x14ac:dyDescent="0.2">
      <c r="A271" s="60" t="s">
        <v>2400</v>
      </c>
      <c r="B271" t="s">
        <v>2401</v>
      </c>
      <c r="C271" t="s">
        <v>2402</v>
      </c>
      <c r="D271" t="s">
        <v>1297</v>
      </c>
      <c r="F271">
        <v>300641</v>
      </c>
      <c r="J271">
        <v>1</v>
      </c>
      <c r="K271">
        <v>1</v>
      </c>
      <c r="L271" t="s">
        <v>2403</v>
      </c>
      <c r="M271" t="s">
        <v>2404</v>
      </c>
      <c r="N271" t="s">
        <v>876</v>
      </c>
      <c r="O271" t="s">
        <v>1032</v>
      </c>
      <c r="P271" t="s">
        <v>1033</v>
      </c>
      <c r="Q271">
        <v>1</v>
      </c>
      <c r="T271">
        <v>11.92530732</v>
      </c>
      <c r="U271">
        <v>17.074874900000001</v>
      </c>
      <c r="V271">
        <v>10000</v>
      </c>
      <c r="W271">
        <v>10000</v>
      </c>
      <c r="X271">
        <v>0.3001989417915511</v>
      </c>
      <c r="Y271">
        <v>0.32760482487597131</v>
      </c>
    </row>
    <row r="272" spans="1:25" x14ac:dyDescent="0.2">
      <c r="A272" s="60" t="s">
        <v>2405</v>
      </c>
      <c r="B272" t="s">
        <v>2406</v>
      </c>
      <c r="C272" t="s">
        <v>2407</v>
      </c>
      <c r="D272" t="s">
        <v>1327</v>
      </c>
      <c r="F272">
        <v>300698</v>
      </c>
      <c r="J272">
        <v>1</v>
      </c>
      <c r="L272" t="s">
        <v>876</v>
      </c>
      <c r="M272" t="s">
        <v>876</v>
      </c>
      <c r="N272" t="s">
        <v>876</v>
      </c>
      <c r="O272" t="s">
        <v>876</v>
      </c>
      <c r="P272" t="s">
        <v>876</v>
      </c>
    </row>
    <row r="273" spans="1:25" x14ac:dyDescent="0.2">
      <c r="A273" s="60" t="s">
        <v>2408</v>
      </c>
      <c r="B273" t="s">
        <v>2409</v>
      </c>
      <c r="C273" t="s">
        <v>2410</v>
      </c>
      <c r="D273" t="s">
        <v>1327</v>
      </c>
      <c r="F273">
        <v>300699</v>
      </c>
      <c r="J273">
        <v>1</v>
      </c>
      <c r="L273" t="s">
        <v>876</v>
      </c>
      <c r="M273" t="s">
        <v>876</v>
      </c>
      <c r="N273" t="s">
        <v>876</v>
      </c>
      <c r="O273" t="s">
        <v>876</v>
      </c>
      <c r="P273" t="s">
        <v>876</v>
      </c>
      <c r="S273">
        <v>1</v>
      </c>
    </row>
    <row r="274" spans="1:25" x14ac:dyDescent="0.2">
      <c r="A274" s="60" t="s">
        <v>2411</v>
      </c>
      <c r="B274" t="s">
        <v>2412</v>
      </c>
      <c r="C274" t="s">
        <v>2413</v>
      </c>
      <c r="D274" t="s">
        <v>1327</v>
      </c>
      <c r="F274">
        <v>300700</v>
      </c>
      <c r="J274">
        <v>1</v>
      </c>
      <c r="L274" t="s">
        <v>876</v>
      </c>
      <c r="M274" t="s">
        <v>2315</v>
      </c>
      <c r="N274" t="s">
        <v>876</v>
      </c>
      <c r="O274" t="s">
        <v>876</v>
      </c>
      <c r="P274" t="s">
        <v>876</v>
      </c>
      <c r="S274">
        <v>1</v>
      </c>
      <c r="T274">
        <v>135.148901</v>
      </c>
      <c r="U274">
        <v>75.029352639999999</v>
      </c>
      <c r="V274">
        <v>10000</v>
      </c>
      <c r="W274">
        <v>214.86955938788182</v>
      </c>
      <c r="X274">
        <v>0.11714737446789415</v>
      </c>
      <c r="Y274">
        <v>0.16066041245234636</v>
      </c>
    </row>
    <row r="275" spans="1:25" x14ac:dyDescent="0.2">
      <c r="A275" s="60" t="s">
        <v>2414</v>
      </c>
      <c r="B275" t="s">
        <v>2415</v>
      </c>
      <c r="C275" t="s">
        <v>2416</v>
      </c>
      <c r="D275" t="s">
        <v>1327</v>
      </c>
      <c r="F275">
        <v>300701</v>
      </c>
      <c r="J275">
        <v>1</v>
      </c>
      <c r="L275" t="s">
        <v>876</v>
      </c>
      <c r="M275" t="s">
        <v>876</v>
      </c>
      <c r="N275" t="s">
        <v>876</v>
      </c>
      <c r="O275" t="s">
        <v>876</v>
      </c>
      <c r="P275" t="s">
        <v>876</v>
      </c>
    </row>
    <row r="276" spans="1:25" x14ac:dyDescent="0.2">
      <c r="A276" s="60" t="s">
        <v>2417</v>
      </c>
      <c r="B276" t="s">
        <v>2418</v>
      </c>
      <c r="C276" t="s">
        <v>2419</v>
      </c>
      <c r="D276" t="s">
        <v>1327</v>
      </c>
      <c r="F276">
        <v>300703</v>
      </c>
      <c r="J276">
        <v>1</v>
      </c>
      <c r="L276" t="s">
        <v>876</v>
      </c>
      <c r="M276" t="s">
        <v>876</v>
      </c>
      <c r="N276" t="s">
        <v>876</v>
      </c>
      <c r="O276" t="s">
        <v>876</v>
      </c>
      <c r="P276" t="s">
        <v>876</v>
      </c>
    </row>
    <row r="277" spans="1:25" x14ac:dyDescent="0.2">
      <c r="A277" s="60" t="s">
        <v>2420</v>
      </c>
      <c r="B277" t="s">
        <v>2421</v>
      </c>
      <c r="C277" t="s">
        <v>2422</v>
      </c>
      <c r="D277" t="s">
        <v>1327</v>
      </c>
      <c r="F277">
        <v>300704</v>
      </c>
      <c r="J277">
        <v>1</v>
      </c>
      <c r="L277" t="s">
        <v>876</v>
      </c>
      <c r="M277" t="s">
        <v>876</v>
      </c>
      <c r="N277" t="s">
        <v>876</v>
      </c>
      <c r="O277" t="s">
        <v>876</v>
      </c>
      <c r="P277" t="s">
        <v>876</v>
      </c>
    </row>
    <row r="278" spans="1:25" x14ac:dyDescent="0.2">
      <c r="A278" s="60" t="s">
        <v>2423</v>
      </c>
      <c r="B278" t="s">
        <v>2424</v>
      </c>
      <c r="C278" t="s">
        <v>2425</v>
      </c>
      <c r="D278" t="s">
        <v>1327</v>
      </c>
      <c r="F278">
        <v>300705</v>
      </c>
      <c r="J278">
        <v>1</v>
      </c>
      <c r="L278" t="s">
        <v>876</v>
      </c>
      <c r="M278" t="s">
        <v>876</v>
      </c>
      <c r="N278" t="s">
        <v>876</v>
      </c>
      <c r="O278" t="s">
        <v>876</v>
      </c>
      <c r="P278" t="s">
        <v>876</v>
      </c>
    </row>
    <row r="279" spans="1:25" x14ac:dyDescent="0.2">
      <c r="A279" s="60" t="s">
        <v>2426</v>
      </c>
      <c r="B279" t="s">
        <v>2427</v>
      </c>
      <c r="C279" t="s">
        <v>2428</v>
      </c>
      <c r="D279" t="s">
        <v>1327</v>
      </c>
      <c r="F279">
        <v>300707</v>
      </c>
      <c r="J279">
        <v>1</v>
      </c>
      <c r="L279" t="s">
        <v>876</v>
      </c>
      <c r="M279" t="s">
        <v>876</v>
      </c>
      <c r="N279" t="s">
        <v>876</v>
      </c>
      <c r="O279" t="s">
        <v>876</v>
      </c>
      <c r="P279" t="s">
        <v>876</v>
      </c>
    </row>
    <row r="280" spans="1:25" x14ac:dyDescent="0.2">
      <c r="A280" s="60" t="s">
        <v>2429</v>
      </c>
      <c r="B280" t="s">
        <v>2430</v>
      </c>
      <c r="C280" t="s">
        <v>2431</v>
      </c>
      <c r="D280" t="s">
        <v>1327</v>
      </c>
      <c r="F280">
        <v>300708</v>
      </c>
      <c r="J280">
        <v>1</v>
      </c>
      <c r="L280" t="s">
        <v>876</v>
      </c>
      <c r="M280" t="s">
        <v>876</v>
      </c>
      <c r="N280" t="s">
        <v>876</v>
      </c>
      <c r="O280" t="s">
        <v>876</v>
      </c>
      <c r="P280" t="s">
        <v>876</v>
      </c>
    </row>
    <row r="281" spans="1:25" x14ac:dyDescent="0.2">
      <c r="A281" s="60" t="s">
        <v>2432</v>
      </c>
      <c r="B281" t="s">
        <v>2433</v>
      </c>
      <c r="C281" t="s">
        <v>2434</v>
      </c>
      <c r="D281" t="s">
        <v>2190</v>
      </c>
      <c r="F281">
        <v>300711</v>
      </c>
      <c r="J281">
        <v>1</v>
      </c>
      <c r="L281" t="s">
        <v>876</v>
      </c>
      <c r="M281" t="s">
        <v>876</v>
      </c>
      <c r="N281" t="s">
        <v>876</v>
      </c>
      <c r="O281" t="s">
        <v>876</v>
      </c>
      <c r="P281" t="s">
        <v>876</v>
      </c>
    </row>
    <row r="282" spans="1:25" x14ac:dyDescent="0.2">
      <c r="A282" s="60" t="s">
        <v>2435</v>
      </c>
      <c r="B282" t="s">
        <v>2436</v>
      </c>
      <c r="C282" t="s">
        <v>2437</v>
      </c>
      <c r="D282" t="s">
        <v>2438</v>
      </c>
      <c r="F282">
        <v>300713</v>
      </c>
      <c r="J282">
        <v>1</v>
      </c>
      <c r="L282" t="s">
        <v>876</v>
      </c>
      <c r="M282" t="s">
        <v>876</v>
      </c>
      <c r="N282" t="s">
        <v>876</v>
      </c>
      <c r="O282" t="s">
        <v>876</v>
      </c>
      <c r="P282" t="s">
        <v>876</v>
      </c>
    </row>
    <row r="283" spans="1:25" x14ac:dyDescent="0.2">
      <c r="A283" s="60" t="s">
        <v>2439</v>
      </c>
      <c r="B283" t="s">
        <v>2440</v>
      </c>
      <c r="C283" t="s">
        <v>2441</v>
      </c>
      <c r="D283" t="s">
        <v>2438</v>
      </c>
      <c r="F283">
        <v>300714</v>
      </c>
      <c r="J283">
        <v>1</v>
      </c>
      <c r="L283" t="s">
        <v>876</v>
      </c>
      <c r="M283" t="s">
        <v>876</v>
      </c>
      <c r="N283" t="s">
        <v>876</v>
      </c>
      <c r="O283" t="s">
        <v>876</v>
      </c>
      <c r="P283" t="s">
        <v>876</v>
      </c>
    </row>
    <row r="284" spans="1:25" x14ac:dyDescent="0.2">
      <c r="A284" s="60" t="s">
        <v>2442</v>
      </c>
      <c r="B284" t="s">
        <v>2443</v>
      </c>
      <c r="C284" t="s">
        <v>2444</v>
      </c>
      <c r="D284" t="s">
        <v>2152</v>
      </c>
      <c r="F284">
        <v>300715</v>
      </c>
      <c r="J284">
        <v>1</v>
      </c>
      <c r="L284" t="s">
        <v>2445</v>
      </c>
      <c r="M284" t="s">
        <v>2327</v>
      </c>
      <c r="N284" t="s">
        <v>876</v>
      </c>
      <c r="O284" t="s">
        <v>671</v>
      </c>
      <c r="P284" t="s">
        <v>1342</v>
      </c>
      <c r="T284">
        <v>10000</v>
      </c>
      <c r="U284">
        <v>24.777409479999999</v>
      </c>
      <c r="V284">
        <v>10000</v>
      </c>
      <c r="W284">
        <v>27.789046039090969</v>
      </c>
      <c r="X284">
        <v>1.5624992895984685E-2</v>
      </c>
      <c r="Y284">
        <v>5.1838838985056694E-2</v>
      </c>
    </row>
    <row r="285" spans="1:25" x14ac:dyDescent="0.2">
      <c r="A285" s="60" t="s">
        <v>2446</v>
      </c>
      <c r="B285" t="s">
        <v>2447</v>
      </c>
      <c r="C285" t="s">
        <v>2448</v>
      </c>
      <c r="D285" t="s">
        <v>2152</v>
      </c>
      <c r="F285">
        <v>300716</v>
      </c>
      <c r="J285">
        <v>1</v>
      </c>
      <c r="L285" t="s">
        <v>2449</v>
      </c>
      <c r="M285" t="s">
        <v>2318</v>
      </c>
      <c r="N285" t="s">
        <v>876</v>
      </c>
      <c r="O285" t="s">
        <v>671</v>
      </c>
      <c r="P285" t="s">
        <v>1342</v>
      </c>
      <c r="T285">
        <v>10000</v>
      </c>
      <c r="U285">
        <v>10000</v>
      </c>
      <c r="V285">
        <v>10000</v>
      </c>
      <c r="W285">
        <v>10000</v>
      </c>
      <c r="X285">
        <v>3.1249997280452576E-2</v>
      </c>
      <c r="Y285">
        <v>8.862627816627372E-2</v>
      </c>
    </row>
    <row r="286" spans="1:25" x14ac:dyDescent="0.2">
      <c r="A286" s="60" t="s">
        <v>979</v>
      </c>
      <c r="B286" t="s">
        <v>2450</v>
      </c>
      <c r="C286" t="s">
        <v>2451</v>
      </c>
      <c r="D286" t="s">
        <v>1327</v>
      </c>
      <c r="F286">
        <v>300718</v>
      </c>
      <c r="J286">
        <v>1</v>
      </c>
      <c r="L286" t="s">
        <v>876</v>
      </c>
      <c r="M286" t="s">
        <v>876</v>
      </c>
      <c r="N286" t="s">
        <v>876</v>
      </c>
      <c r="O286" t="s">
        <v>876</v>
      </c>
      <c r="P286" t="s">
        <v>876</v>
      </c>
    </row>
    <row r="287" spans="1:25" x14ac:dyDescent="0.2">
      <c r="A287" s="60" t="s">
        <v>2452</v>
      </c>
      <c r="B287" t="s">
        <v>2453</v>
      </c>
      <c r="C287" t="s">
        <v>2454</v>
      </c>
      <c r="D287" t="s">
        <v>1327</v>
      </c>
      <c r="F287">
        <v>300719</v>
      </c>
      <c r="J287">
        <v>1</v>
      </c>
      <c r="L287" t="s">
        <v>876</v>
      </c>
      <c r="M287" t="s">
        <v>876</v>
      </c>
      <c r="N287" t="s">
        <v>876</v>
      </c>
      <c r="O287" t="s">
        <v>876</v>
      </c>
      <c r="P287" t="s">
        <v>876</v>
      </c>
    </row>
    <row r="288" spans="1:25" x14ac:dyDescent="0.2">
      <c r="A288" s="60" t="s">
        <v>2455</v>
      </c>
      <c r="B288" t="s">
        <v>2456</v>
      </c>
      <c r="C288" t="s">
        <v>2457</v>
      </c>
      <c r="D288" t="s">
        <v>1327</v>
      </c>
      <c r="F288">
        <v>300720</v>
      </c>
      <c r="J288">
        <v>1</v>
      </c>
      <c r="L288" t="s">
        <v>876</v>
      </c>
      <c r="M288" t="s">
        <v>876</v>
      </c>
      <c r="N288" t="s">
        <v>876</v>
      </c>
      <c r="O288" t="s">
        <v>876</v>
      </c>
      <c r="P288" t="s">
        <v>876</v>
      </c>
    </row>
    <row r="289" spans="1:25" x14ac:dyDescent="0.2">
      <c r="A289" s="60" t="s">
        <v>2458</v>
      </c>
      <c r="B289" t="s">
        <v>2459</v>
      </c>
      <c r="C289" t="s">
        <v>2460</v>
      </c>
      <c r="D289" t="s">
        <v>1327</v>
      </c>
      <c r="F289">
        <v>300721</v>
      </c>
      <c r="J289">
        <v>1</v>
      </c>
      <c r="L289" t="s">
        <v>876</v>
      </c>
      <c r="M289" t="s">
        <v>876</v>
      </c>
      <c r="N289" t="s">
        <v>876</v>
      </c>
      <c r="O289" t="s">
        <v>876</v>
      </c>
      <c r="P289" t="s">
        <v>876</v>
      </c>
    </row>
    <row r="290" spans="1:25" x14ac:dyDescent="0.2">
      <c r="A290" s="60" t="s">
        <v>2461</v>
      </c>
      <c r="B290" t="s">
        <v>2462</v>
      </c>
      <c r="C290" t="s">
        <v>2463</v>
      </c>
      <c r="D290" t="s">
        <v>1327</v>
      </c>
      <c r="F290">
        <v>300722</v>
      </c>
      <c r="J290">
        <v>1</v>
      </c>
      <c r="L290" t="s">
        <v>876</v>
      </c>
      <c r="M290" t="s">
        <v>876</v>
      </c>
      <c r="N290" t="s">
        <v>876</v>
      </c>
      <c r="O290" t="s">
        <v>876</v>
      </c>
      <c r="P290" t="s">
        <v>876</v>
      </c>
    </row>
    <row r="291" spans="1:25" x14ac:dyDescent="0.2">
      <c r="A291" s="60" t="s">
        <v>981</v>
      </c>
      <c r="B291" t="s">
        <v>2464</v>
      </c>
      <c r="C291" t="s">
        <v>2465</v>
      </c>
      <c r="D291" t="s">
        <v>1327</v>
      </c>
      <c r="F291">
        <v>300723</v>
      </c>
      <c r="J291">
        <v>1</v>
      </c>
      <c r="L291" t="s">
        <v>876</v>
      </c>
      <c r="M291" t="s">
        <v>876</v>
      </c>
      <c r="N291" t="s">
        <v>876</v>
      </c>
      <c r="O291" t="s">
        <v>876</v>
      </c>
      <c r="P291" t="s">
        <v>876</v>
      </c>
    </row>
    <row r="292" spans="1:25" x14ac:dyDescent="0.2">
      <c r="A292" s="60" t="s">
        <v>2466</v>
      </c>
      <c r="B292" t="s">
        <v>2467</v>
      </c>
      <c r="C292" t="s">
        <v>2468</v>
      </c>
      <c r="D292" t="s">
        <v>1327</v>
      </c>
      <c r="F292">
        <v>300724</v>
      </c>
      <c r="J292">
        <v>1</v>
      </c>
      <c r="L292" t="s">
        <v>876</v>
      </c>
      <c r="M292" t="s">
        <v>876</v>
      </c>
      <c r="N292" t="s">
        <v>876</v>
      </c>
      <c r="O292" t="s">
        <v>876</v>
      </c>
      <c r="P292" t="s">
        <v>876</v>
      </c>
    </row>
    <row r="293" spans="1:25" x14ac:dyDescent="0.2">
      <c r="A293" s="60" t="s">
        <v>2469</v>
      </c>
      <c r="B293" t="s">
        <v>2470</v>
      </c>
      <c r="C293" t="s">
        <v>2471</v>
      </c>
      <c r="D293" t="s">
        <v>1327</v>
      </c>
      <c r="F293">
        <v>300725</v>
      </c>
      <c r="J293">
        <v>1</v>
      </c>
      <c r="L293" t="s">
        <v>876</v>
      </c>
      <c r="M293" t="s">
        <v>876</v>
      </c>
      <c r="N293" t="s">
        <v>876</v>
      </c>
      <c r="O293" t="s">
        <v>876</v>
      </c>
      <c r="P293" t="s">
        <v>876</v>
      </c>
    </row>
    <row r="294" spans="1:25" x14ac:dyDescent="0.2">
      <c r="A294" s="60" t="s">
        <v>2472</v>
      </c>
      <c r="B294" t="s">
        <v>2473</v>
      </c>
      <c r="C294" t="s">
        <v>2474</v>
      </c>
      <c r="D294" t="s">
        <v>1327</v>
      </c>
      <c r="F294">
        <v>300726</v>
      </c>
      <c r="J294">
        <v>1</v>
      </c>
      <c r="L294" t="s">
        <v>876</v>
      </c>
      <c r="M294" t="s">
        <v>876</v>
      </c>
      <c r="N294" t="s">
        <v>876</v>
      </c>
      <c r="O294" t="s">
        <v>876</v>
      </c>
      <c r="P294" t="s">
        <v>876</v>
      </c>
    </row>
    <row r="295" spans="1:25" x14ac:dyDescent="0.2">
      <c r="A295" s="60" t="s">
        <v>2475</v>
      </c>
      <c r="B295" t="s">
        <v>2476</v>
      </c>
      <c r="C295" t="s">
        <v>2477</v>
      </c>
      <c r="D295" t="s">
        <v>2438</v>
      </c>
      <c r="F295">
        <v>300727</v>
      </c>
      <c r="J295">
        <v>1</v>
      </c>
      <c r="L295" t="s">
        <v>876</v>
      </c>
      <c r="M295" t="s">
        <v>876</v>
      </c>
      <c r="N295" t="s">
        <v>876</v>
      </c>
      <c r="O295" t="s">
        <v>876</v>
      </c>
      <c r="P295" t="s">
        <v>876</v>
      </c>
    </row>
    <row r="296" spans="1:25" x14ac:dyDescent="0.2">
      <c r="A296" s="60" t="s">
        <v>2478</v>
      </c>
      <c r="B296" t="s">
        <v>2479</v>
      </c>
      <c r="C296" t="s">
        <v>2480</v>
      </c>
      <c r="D296" t="s">
        <v>2152</v>
      </c>
      <c r="F296">
        <v>300728</v>
      </c>
      <c r="J296">
        <v>1</v>
      </c>
      <c r="L296" t="s">
        <v>2481</v>
      </c>
      <c r="M296" t="s">
        <v>2330</v>
      </c>
      <c r="N296" t="s">
        <v>876</v>
      </c>
      <c r="O296" t="s">
        <v>671</v>
      </c>
      <c r="P296" t="s">
        <v>1342</v>
      </c>
      <c r="T296">
        <v>10000</v>
      </c>
      <c r="U296">
        <v>10000</v>
      </c>
      <c r="V296">
        <v>10000</v>
      </c>
      <c r="W296">
        <v>10000</v>
      </c>
      <c r="X296">
        <v>6.7708334519202718E-2</v>
      </c>
      <c r="Y296">
        <v>0.11979166611738852</v>
      </c>
    </row>
    <row r="297" spans="1:25" x14ac:dyDescent="0.2">
      <c r="A297" s="60" t="s">
        <v>2482</v>
      </c>
      <c r="B297" t="s">
        <v>2483</v>
      </c>
      <c r="C297" t="s">
        <v>2484</v>
      </c>
      <c r="D297" t="s">
        <v>2438</v>
      </c>
      <c r="F297">
        <v>300729</v>
      </c>
      <c r="J297">
        <v>1</v>
      </c>
      <c r="L297" t="s">
        <v>876</v>
      </c>
      <c r="M297" t="s">
        <v>876</v>
      </c>
      <c r="N297" t="s">
        <v>876</v>
      </c>
      <c r="O297" t="s">
        <v>876</v>
      </c>
      <c r="P297" t="s">
        <v>876</v>
      </c>
    </row>
    <row r="298" spans="1:25" x14ac:dyDescent="0.2">
      <c r="A298" s="60" t="s">
        <v>2485</v>
      </c>
      <c r="B298" t="s">
        <v>2486</v>
      </c>
      <c r="C298" t="s">
        <v>2487</v>
      </c>
      <c r="D298" t="s">
        <v>2438</v>
      </c>
      <c r="F298">
        <v>300730</v>
      </c>
      <c r="J298">
        <v>1</v>
      </c>
      <c r="L298" t="s">
        <v>876</v>
      </c>
      <c r="M298" t="s">
        <v>876</v>
      </c>
      <c r="N298" t="s">
        <v>876</v>
      </c>
      <c r="O298" t="s">
        <v>876</v>
      </c>
      <c r="P298" t="s">
        <v>876</v>
      </c>
    </row>
    <row r="299" spans="1:25" x14ac:dyDescent="0.2">
      <c r="A299" s="60" t="s">
        <v>2488</v>
      </c>
      <c r="B299" t="s">
        <v>2489</v>
      </c>
      <c r="C299" t="s">
        <v>2490</v>
      </c>
      <c r="D299" t="s">
        <v>2438</v>
      </c>
      <c r="F299">
        <v>300731</v>
      </c>
      <c r="J299">
        <v>1</v>
      </c>
      <c r="L299" t="s">
        <v>876</v>
      </c>
      <c r="M299" t="s">
        <v>876</v>
      </c>
      <c r="N299" t="s">
        <v>876</v>
      </c>
      <c r="O299" t="s">
        <v>876</v>
      </c>
      <c r="P299" t="s">
        <v>876</v>
      </c>
    </row>
    <row r="300" spans="1:25" x14ac:dyDescent="0.2">
      <c r="A300" s="60" t="s">
        <v>2491</v>
      </c>
      <c r="B300" t="s">
        <v>2492</v>
      </c>
      <c r="C300" t="s">
        <v>2493</v>
      </c>
      <c r="D300" t="s">
        <v>2438</v>
      </c>
      <c r="F300">
        <v>300732</v>
      </c>
      <c r="J300">
        <v>1</v>
      </c>
      <c r="L300" t="s">
        <v>876</v>
      </c>
      <c r="M300" t="s">
        <v>769</v>
      </c>
      <c r="N300" t="s">
        <v>876</v>
      </c>
      <c r="O300" t="s">
        <v>876</v>
      </c>
      <c r="P300" t="s">
        <v>876</v>
      </c>
      <c r="T300">
        <v>10000</v>
      </c>
      <c r="U300">
        <v>10000</v>
      </c>
      <c r="V300">
        <v>10000</v>
      </c>
      <c r="W300">
        <v>10000</v>
      </c>
      <c r="X300">
        <v>9.375005517141724E-2</v>
      </c>
      <c r="Y300">
        <v>0.12499999941922219</v>
      </c>
    </row>
    <row r="301" spans="1:25" x14ac:dyDescent="0.2">
      <c r="A301" s="60" t="s">
        <v>2494</v>
      </c>
      <c r="B301" t="s">
        <v>2495</v>
      </c>
      <c r="C301" t="s">
        <v>2496</v>
      </c>
      <c r="D301" t="s">
        <v>2152</v>
      </c>
      <c r="F301">
        <v>300733</v>
      </c>
      <c r="J301">
        <v>1</v>
      </c>
      <c r="L301" t="s">
        <v>876</v>
      </c>
      <c r="M301" t="s">
        <v>876</v>
      </c>
      <c r="N301" t="s">
        <v>876</v>
      </c>
      <c r="O301" t="s">
        <v>876</v>
      </c>
      <c r="P301" t="s">
        <v>876</v>
      </c>
      <c r="T301">
        <v>7.310614E-3</v>
      </c>
      <c r="U301">
        <v>6.3412709999999999E-3</v>
      </c>
      <c r="V301">
        <v>9.9499926455831576E-3</v>
      </c>
      <c r="W301">
        <v>8.2692427915205553E-3</v>
      </c>
      <c r="X301">
        <v>2.8354200731612496E-3</v>
      </c>
      <c r="Y301">
        <v>2.9027557718327532E-2</v>
      </c>
    </row>
    <row r="302" spans="1:25" x14ac:dyDescent="0.2">
      <c r="A302" s="60" t="s">
        <v>1390</v>
      </c>
      <c r="B302" t="s">
        <v>2497</v>
      </c>
      <c r="C302" t="s">
        <v>2498</v>
      </c>
      <c r="D302" t="s">
        <v>2438</v>
      </c>
      <c r="F302">
        <v>300734</v>
      </c>
      <c r="J302">
        <v>1</v>
      </c>
      <c r="L302" t="s">
        <v>876</v>
      </c>
      <c r="M302" t="s">
        <v>876</v>
      </c>
      <c r="N302" t="s">
        <v>876</v>
      </c>
      <c r="O302" t="s">
        <v>876</v>
      </c>
      <c r="P302" t="s">
        <v>876</v>
      </c>
    </row>
    <row r="303" spans="1:25" x14ac:dyDescent="0.2">
      <c r="A303" s="60" t="s">
        <v>2499</v>
      </c>
      <c r="B303" t="s">
        <v>2500</v>
      </c>
      <c r="C303" t="s">
        <v>2501</v>
      </c>
      <c r="D303" t="s">
        <v>1327</v>
      </c>
      <c r="F303">
        <v>300736</v>
      </c>
      <c r="J303">
        <v>1</v>
      </c>
      <c r="L303" t="s">
        <v>876</v>
      </c>
      <c r="M303" t="s">
        <v>876</v>
      </c>
      <c r="N303" t="s">
        <v>876</v>
      </c>
      <c r="O303" t="s">
        <v>876</v>
      </c>
      <c r="P303" t="s">
        <v>876</v>
      </c>
    </row>
    <row r="304" spans="1:25" x14ac:dyDescent="0.2">
      <c r="A304" s="60" t="s">
        <v>2502</v>
      </c>
      <c r="B304" t="s">
        <v>2503</v>
      </c>
      <c r="C304" t="s">
        <v>2504</v>
      </c>
      <c r="D304" t="s">
        <v>1327</v>
      </c>
      <c r="F304">
        <v>300737</v>
      </c>
      <c r="J304">
        <v>1</v>
      </c>
      <c r="L304" t="s">
        <v>876</v>
      </c>
      <c r="M304" t="s">
        <v>876</v>
      </c>
      <c r="N304" t="s">
        <v>876</v>
      </c>
      <c r="O304" t="s">
        <v>876</v>
      </c>
      <c r="P304" t="s">
        <v>876</v>
      </c>
    </row>
    <row r="305" spans="1:16" x14ac:dyDescent="0.2">
      <c r="A305" s="60" t="s">
        <v>2505</v>
      </c>
      <c r="B305" t="s">
        <v>2506</v>
      </c>
      <c r="C305" t="s">
        <v>2507</v>
      </c>
      <c r="D305" t="s">
        <v>1327</v>
      </c>
      <c r="F305">
        <v>300743</v>
      </c>
      <c r="J305">
        <v>1</v>
      </c>
      <c r="L305" t="s">
        <v>876</v>
      </c>
      <c r="M305" t="s">
        <v>876</v>
      </c>
      <c r="N305" t="s">
        <v>876</v>
      </c>
      <c r="O305" t="s">
        <v>876</v>
      </c>
      <c r="P305" t="s">
        <v>876</v>
      </c>
    </row>
    <row r="306" spans="1:16" x14ac:dyDescent="0.2">
      <c r="A306" s="60" t="s">
        <v>897</v>
      </c>
      <c r="B306" t="s">
        <v>2508</v>
      </c>
      <c r="C306" t="s">
        <v>2509</v>
      </c>
      <c r="D306" t="s">
        <v>1327</v>
      </c>
      <c r="F306">
        <v>300745</v>
      </c>
      <c r="J306">
        <v>1</v>
      </c>
      <c r="L306" t="s">
        <v>876</v>
      </c>
      <c r="M306" t="s">
        <v>876</v>
      </c>
      <c r="N306" t="s">
        <v>876</v>
      </c>
      <c r="O306" t="s">
        <v>876</v>
      </c>
      <c r="P306" t="s">
        <v>876</v>
      </c>
    </row>
    <row r="307" spans="1:16" x14ac:dyDescent="0.2">
      <c r="A307" s="60" t="s">
        <v>2510</v>
      </c>
      <c r="B307" t="s">
        <v>2511</v>
      </c>
      <c r="C307" t="s">
        <v>2512</v>
      </c>
      <c r="D307" t="s">
        <v>1327</v>
      </c>
      <c r="F307">
        <v>300763</v>
      </c>
      <c r="J307">
        <v>1</v>
      </c>
      <c r="L307" t="s">
        <v>876</v>
      </c>
      <c r="M307" t="s">
        <v>876</v>
      </c>
      <c r="N307" t="s">
        <v>876</v>
      </c>
      <c r="O307" t="s">
        <v>876</v>
      </c>
      <c r="P307" t="s">
        <v>876</v>
      </c>
    </row>
    <row r="308" spans="1:16" x14ac:dyDescent="0.2">
      <c r="A308" s="60" t="s">
        <v>2513</v>
      </c>
      <c r="B308" t="s">
        <v>2514</v>
      </c>
      <c r="C308" t="s">
        <v>2515</v>
      </c>
      <c r="D308" t="s">
        <v>1327</v>
      </c>
      <c r="F308">
        <v>300764</v>
      </c>
      <c r="J308">
        <v>1</v>
      </c>
      <c r="L308" t="s">
        <v>876</v>
      </c>
      <c r="M308" t="s">
        <v>876</v>
      </c>
      <c r="N308" t="s">
        <v>876</v>
      </c>
      <c r="O308" t="s">
        <v>876</v>
      </c>
      <c r="P308" t="s">
        <v>876</v>
      </c>
    </row>
    <row r="309" spans="1:16" x14ac:dyDescent="0.2">
      <c r="A309" s="60" t="s">
        <v>2516</v>
      </c>
      <c r="B309" t="s">
        <v>2517</v>
      </c>
      <c r="C309" t="s">
        <v>2518</v>
      </c>
      <c r="D309" t="s">
        <v>1327</v>
      </c>
      <c r="F309">
        <v>300765</v>
      </c>
      <c r="J309">
        <v>1</v>
      </c>
      <c r="L309" t="s">
        <v>876</v>
      </c>
      <c r="M309" t="s">
        <v>876</v>
      </c>
      <c r="N309" t="s">
        <v>876</v>
      </c>
      <c r="O309" t="s">
        <v>876</v>
      </c>
      <c r="P309" t="s">
        <v>876</v>
      </c>
    </row>
    <row r="310" spans="1:16" x14ac:dyDescent="0.2">
      <c r="A310" s="60" t="s">
        <v>2519</v>
      </c>
      <c r="B310" t="s">
        <v>2520</v>
      </c>
      <c r="C310" t="s">
        <v>2521</v>
      </c>
      <c r="D310" t="s">
        <v>1327</v>
      </c>
      <c r="F310">
        <v>300766</v>
      </c>
      <c r="J310">
        <v>1</v>
      </c>
      <c r="L310" t="s">
        <v>876</v>
      </c>
      <c r="M310" t="s">
        <v>876</v>
      </c>
      <c r="N310" t="s">
        <v>876</v>
      </c>
      <c r="O310" t="s">
        <v>876</v>
      </c>
      <c r="P310" t="s">
        <v>876</v>
      </c>
    </row>
    <row r="311" spans="1:16" x14ac:dyDescent="0.2">
      <c r="A311" s="60" t="s">
        <v>2522</v>
      </c>
      <c r="B311" t="s">
        <v>2523</v>
      </c>
      <c r="C311" t="s">
        <v>2524</v>
      </c>
      <c r="D311" t="s">
        <v>1327</v>
      </c>
      <c r="F311">
        <v>300773</v>
      </c>
      <c r="J311">
        <v>1</v>
      </c>
      <c r="L311" t="s">
        <v>876</v>
      </c>
      <c r="M311" t="s">
        <v>876</v>
      </c>
      <c r="N311" t="s">
        <v>876</v>
      </c>
      <c r="O311" t="s">
        <v>876</v>
      </c>
      <c r="P311" t="s">
        <v>876</v>
      </c>
    </row>
    <row r="312" spans="1:16" x14ac:dyDescent="0.2">
      <c r="A312" s="60" t="s">
        <v>2525</v>
      </c>
      <c r="B312" t="s">
        <v>2526</v>
      </c>
      <c r="C312" t="s">
        <v>2527</v>
      </c>
      <c r="D312" t="s">
        <v>1327</v>
      </c>
      <c r="F312">
        <v>300894</v>
      </c>
      <c r="J312">
        <v>1</v>
      </c>
      <c r="L312" t="s">
        <v>876</v>
      </c>
      <c r="M312" t="s">
        <v>876</v>
      </c>
      <c r="N312" t="s">
        <v>876</v>
      </c>
      <c r="O312" t="s">
        <v>876</v>
      </c>
      <c r="P312" t="s">
        <v>876</v>
      </c>
    </row>
    <row r="313" spans="1:16" x14ac:dyDescent="0.2">
      <c r="A313" s="60" t="s">
        <v>2528</v>
      </c>
      <c r="B313" t="s">
        <v>2529</v>
      </c>
      <c r="C313" t="s">
        <v>2530</v>
      </c>
      <c r="D313" t="s">
        <v>1327</v>
      </c>
      <c r="F313">
        <v>300897</v>
      </c>
      <c r="J313">
        <v>1</v>
      </c>
      <c r="L313" t="s">
        <v>876</v>
      </c>
      <c r="M313" t="s">
        <v>876</v>
      </c>
      <c r="N313" t="s">
        <v>876</v>
      </c>
      <c r="O313" t="s">
        <v>876</v>
      </c>
      <c r="P313" t="s">
        <v>876</v>
      </c>
    </row>
    <row r="314" spans="1:16" x14ac:dyDescent="0.2">
      <c r="A314" s="60" t="s">
        <v>1079</v>
      </c>
      <c r="B314" t="s">
        <v>2531</v>
      </c>
      <c r="C314" t="s">
        <v>2532</v>
      </c>
      <c r="D314" t="s">
        <v>1327</v>
      </c>
      <c r="F314">
        <v>300898</v>
      </c>
      <c r="J314">
        <v>1</v>
      </c>
      <c r="L314" t="s">
        <v>876</v>
      </c>
      <c r="M314" t="s">
        <v>876</v>
      </c>
      <c r="N314" t="s">
        <v>876</v>
      </c>
      <c r="O314" t="s">
        <v>876</v>
      </c>
      <c r="P314" t="s">
        <v>876</v>
      </c>
    </row>
    <row r="315" spans="1:16" x14ac:dyDescent="0.2">
      <c r="A315" s="60" t="s">
        <v>1081</v>
      </c>
      <c r="B315" t="s">
        <v>2533</v>
      </c>
      <c r="C315" t="s">
        <v>2534</v>
      </c>
      <c r="D315" t="s">
        <v>1327</v>
      </c>
      <c r="F315">
        <v>300899</v>
      </c>
      <c r="J315">
        <v>1</v>
      </c>
      <c r="L315" t="s">
        <v>876</v>
      </c>
      <c r="M315" t="s">
        <v>876</v>
      </c>
      <c r="N315" t="s">
        <v>876</v>
      </c>
      <c r="O315" t="s">
        <v>876</v>
      </c>
      <c r="P315" t="s">
        <v>876</v>
      </c>
    </row>
    <row r="316" spans="1:16" x14ac:dyDescent="0.2">
      <c r="A316" s="60" t="s">
        <v>2535</v>
      </c>
      <c r="B316" t="s">
        <v>2536</v>
      </c>
      <c r="C316" t="s">
        <v>2537</v>
      </c>
      <c r="D316" t="s">
        <v>1327</v>
      </c>
      <c r="F316">
        <v>300900</v>
      </c>
      <c r="J316">
        <v>1</v>
      </c>
      <c r="L316" t="s">
        <v>876</v>
      </c>
      <c r="M316" t="s">
        <v>876</v>
      </c>
      <c r="N316" t="s">
        <v>876</v>
      </c>
      <c r="O316" t="s">
        <v>876</v>
      </c>
      <c r="P316" t="s">
        <v>876</v>
      </c>
    </row>
    <row r="317" spans="1:16" x14ac:dyDescent="0.2">
      <c r="A317" s="60" t="s">
        <v>2538</v>
      </c>
      <c r="B317" t="s">
        <v>2539</v>
      </c>
      <c r="C317" t="s">
        <v>2540</v>
      </c>
      <c r="D317" t="s">
        <v>1327</v>
      </c>
      <c r="F317">
        <v>300901</v>
      </c>
      <c r="J317">
        <v>1</v>
      </c>
      <c r="L317" t="s">
        <v>876</v>
      </c>
      <c r="M317" t="s">
        <v>876</v>
      </c>
      <c r="N317" t="s">
        <v>876</v>
      </c>
      <c r="O317" t="s">
        <v>876</v>
      </c>
      <c r="P317" t="s">
        <v>876</v>
      </c>
    </row>
    <row r="318" spans="1:16" x14ac:dyDescent="0.2">
      <c r="A318" s="60" t="s">
        <v>2541</v>
      </c>
      <c r="B318" t="s">
        <v>2542</v>
      </c>
      <c r="C318" t="s">
        <v>2543</v>
      </c>
      <c r="D318" t="s">
        <v>1327</v>
      </c>
      <c r="F318">
        <v>300903</v>
      </c>
      <c r="J318">
        <v>1</v>
      </c>
      <c r="L318" t="s">
        <v>876</v>
      </c>
      <c r="M318" t="s">
        <v>876</v>
      </c>
      <c r="N318" t="s">
        <v>876</v>
      </c>
      <c r="O318" t="s">
        <v>876</v>
      </c>
      <c r="P318" t="s">
        <v>876</v>
      </c>
    </row>
    <row r="319" spans="1:16" x14ac:dyDescent="0.2">
      <c r="A319" s="60" t="s">
        <v>2544</v>
      </c>
      <c r="B319" t="s">
        <v>2545</v>
      </c>
      <c r="C319" t="s">
        <v>2546</v>
      </c>
      <c r="D319" t="s">
        <v>1327</v>
      </c>
      <c r="F319">
        <v>300904</v>
      </c>
      <c r="J319">
        <v>1</v>
      </c>
      <c r="L319" t="s">
        <v>876</v>
      </c>
      <c r="M319" t="s">
        <v>876</v>
      </c>
      <c r="N319" t="s">
        <v>876</v>
      </c>
      <c r="O319" t="s">
        <v>876</v>
      </c>
      <c r="P319" t="s">
        <v>876</v>
      </c>
    </row>
    <row r="320" spans="1:16" x14ac:dyDescent="0.2">
      <c r="A320" s="60" t="s">
        <v>2547</v>
      </c>
      <c r="B320" t="s">
        <v>2548</v>
      </c>
      <c r="C320" t="s">
        <v>2549</v>
      </c>
      <c r="D320" t="s">
        <v>1327</v>
      </c>
      <c r="F320">
        <v>300905</v>
      </c>
      <c r="J320">
        <v>1</v>
      </c>
      <c r="L320" t="s">
        <v>876</v>
      </c>
      <c r="M320" t="s">
        <v>876</v>
      </c>
      <c r="N320" t="s">
        <v>876</v>
      </c>
      <c r="O320" t="s">
        <v>876</v>
      </c>
      <c r="P320" t="s">
        <v>876</v>
      </c>
    </row>
    <row r="321" spans="1:16" x14ac:dyDescent="0.2">
      <c r="A321" s="60" t="s">
        <v>2550</v>
      </c>
      <c r="B321" t="s">
        <v>2551</v>
      </c>
      <c r="C321" t="s">
        <v>2552</v>
      </c>
      <c r="D321" t="s">
        <v>1327</v>
      </c>
      <c r="F321">
        <v>300906</v>
      </c>
      <c r="J321">
        <v>1</v>
      </c>
      <c r="L321" t="s">
        <v>876</v>
      </c>
      <c r="M321" t="s">
        <v>876</v>
      </c>
      <c r="N321" t="s">
        <v>876</v>
      </c>
      <c r="O321" t="s">
        <v>876</v>
      </c>
      <c r="P321" t="s">
        <v>876</v>
      </c>
    </row>
    <row r="322" spans="1:16" x14ac:dyDescent="0.2">
      <c r="A322" s="60" t="s">
        <v>2553</v>
      </c>
      <c r="B322" t="s">
        <v>2554</v>
      </c>
      <c r="C322" t="s">
        <v>2555</v>
      </c>
      <c r="D322" t="s">
        <v>1327</v>
      </c>
      <c r="F322">
        <v>300907</v>
      </c>
      <c r="J322">
        <v>1</v>
      </c>
      <c r="L322" t="s">
        <v>876</v>
      </c>
      <c r="M322" t="s">
        <v>876</v>
      </c>
      <c r="N322" t="s">
        <v>876</v>
      </c>
      <c r="O322" t="s">
        <v>876</v>
      </c>
      <c r="P322" t="s">
        <v>876</v>
      </c>
    </row>
    <row r="323" spans="1:16" x14ac:dyDescent="0.2">
      <c r="A323" s="60" t="s">
        <v>2556</v>
      </c>
      <c r="B323" t="s">
        <v>2557</v>
      </c>
      <c r="C323" t="s">
        <v>2558</v>
      </c>
      <c r="D323" t="s">
        <v>1327</v>
      </c>
      <c r="F323">
        <v>300908</v>
      </c>
      <c r="J323">
        <v>1</v>
      </c>
      <c r="L323" t="s">
        <v>876</v>
      </c>
      <c r="M323" t="s">
        <v>876</v>
      </c>
      <c r="N323" t="s">
        <v>876</v>
      </c>
      <c r="O323" t="s">
        <v>876</v>
      </c>
      <c r="P323" t="s">
        <v>876</v>
      </c>
    </row>
    <row r="324" spans="1:16" x14ac:dyDescent="0.2">
      <c r="A324" s="60" t="s">
        <v>2559</v>
      </c>
      <c r="B324" t="s">
        <v>2560</v>
      </c>
      <c r="C324" t="s">
        <v>2561</v>
      </c>
      <c r="D324" t="s">
        <v>1327</v>
      </c>
      <c r="F324">
        <v>300909</v>
      </c>
      <c r="J324">
        <v>1</v>
      </c>
      <c r="L324" t="s">
        <v>876</v>
      </c>
      <c r="M324" t="s">
        <v>876</v>
      </c>
      <c r="N324" t="s">
        <v>876</v>
      </c>
      <c r="O324" t="s">
        <v>876</v>
      </c>
      <c r="P324" t="s">
        <v>876</v>
      </c>
    </row>
    <row r="325" spans="1:16" x14ac:dyDescent="0.2">
      <c r="A325" s="60" t="s">
        <v>1448</v>
      </c>
      <c r="B325" t="s">
        <v>2562</v>
      </c>
      <c r="C325" t="s">
        <v>2563</v>
      </c>
      <c r="D325" t="s">
        <v>1327</v>
      </c>
      <c r="F325">
        <v>300910</v>
      </c>
      <c r="J325">
        <v>1</v>
      </c>
      <c r="L325" t="s">
        <v>876</v>
      </c>
      <c r="M325" t="s">
        <v>876</v>
      </c>
      <c r="N325" t="s">
        <v>876</v>
      </c>
      <c r="O325" t="s">
        <v>876</v>
      </c>
      <c r="P325" t="s">
        <v>876</v>
      </c>
    </row>
    <row r="326" spans="1:16" x14ac:dyDescent="0.2">
      <c r="A326" s="60" t="s">
        <v>2564</v>
      </c>
      <c r="B326" t="s">
        <v>2565</v>
      </c>
      <c r="C326" t="s">
        <v>2566</v>
      </c>
      <c r="D326" t="s">
        <v>1327</v>
      </c>
      <c r="F326">
        <v>300911</v>
      </c>
      <c r="J326">
        <v>1</v>
      </c>
      <c r="L326" t="s">
        <v>876</v>
      </c>
      <c r="M326" t="s">
        <v>876</v>
      </c>
      <c r="N326" t="s">
        <v>876</v>
      </c>
      <c r="O326" t="s">
        <v>876</v>
      </c>
      <c r="P326" t="s">
        <v>876</v>
      </c>
    </row>
    <row r="327" spans="1:16" x14ac:dyDescent="0.2">
      <c r="A327" s="60" t="s">
        <v>2567</v>
      </c>
      <c r="B327" t="s">
        <v>2568</v>
      </c>
      <c r="C327" t="s">
        <v>2569</v>
      </c>
      <c r="D327" t="s">
        <v>1327</v>
      </c>
      <c r="F327">
        <v>300912</v>
      </c>
      <c r="J327">
        <v>1</v>
      </c>
      <c r="L327" t="s">
        <v>876</v>
      </c>
      <c r="M327" t="s">
        <v>876</v>
      </c>
      <c r="N327" t="s">
        <v>876</v>
      </c>
      <c r="O327" t="s">
        <v>876</v>
      </c>
      <c r="P327" t="s">
        <v>876</v>
      </c>
    </row>
    <row r="328" spans="1:16" x14ac:dyDescent="0.2">
      <c r="A328" s="60" t="s">
        <v>1840</v>
      </c>
      <c r="B328" t="s">
        <v>2570</v>
      </c>
      <c r="C328" t="s">
        <v>2571</v>
      </c>
      <c r="D328" t="s">
        <v>1327</v>
      </c>
      <c r="F328">
        <v>300913</v>
      </c>
      <c r="J328">
        <v>1</v>
      </c>
      <c r="L328" t="s">
        <v>876</v>
      </c>
      <c r="M328" t="s">
        <v>876</v>
      </c>
      <c r="N328" t="s">
        <v>876</v>
      </c>
      <c r="O328" t="s">
        <v>876</v>
      </c>
      <c r="P328" t="s">
        <v>876</v>
      </c>
    </row>
    <row r="329" spans="1:16" x14ac:dyDescent="0.2">
      <c r="A329" s="60" t="s">
        <v>753</v>
      </c>
      <c r="B329" t="s">
        <v>2572</v>
      </c>
      <c r="C329" t="s">
        <v>2573</v>
      </c>
      <c r="D329" t="s">
        <v>1327</v>
      </c>
      <c r="F329">
        <v>300914</v>
      </c>
      <c r="J329">
        <v>1</v>
      </c>
      <c r="L329" t="s">
        <v>876</v>
      </c>
      <c r="M329" t="s">
        <v>876</v>
      </c>
      <c r="N329" t="s">
        <v>876</v>
      </c>
      <c r="O329" t="s">
        <v>876</v>
      </c>
      <c r="P329" t="s">
        <v>876</v>
      </c>
    </row>
    <row r="330" spans="1:16" x14ac:dyDescent="0.2">
      <c r="A330" s="60" t="s">
        <v>2574</v>
      </c>
      <c r="B330" t="s">
        <v>2575</v>
      </c>
      <c r="C330" t="s">
        <v>2576</v>
      </c>
      <c r="D330" t="s">
        <v>1327</v>
      </c>
      <c r="F330">
        <v>300915</v>
      </c>
      <c r="J330">
        <v>1</v>
      </c>
      <c r="L330" t="s">
        <v>876</v>
      </c>
      <c r="M330" t="s">
        <v>876</v>
      </c>
      <c r="N330" t="s">
        <v>876</v>
      </c>
      <c r="O330" t="s">
        <v>876</v>
      </c>
      <c r="P330" t="s">
        <v>876</v>
      </c>
    </row>
    <row r="331" spans="1:16" x14ac:dyDescent="0.2">
      <c r="A331" s="60" t="s">
        <v>903</v>
      </c>
      <c r="B331" t="s">
        <v>2577</v>
      </c>
      <c r="C331" t="s">
        <v>2578</v>
      </c>
      <c r="D331" t="s">
        <v>1327</v>
      </c>
      <c r="F331">
        <v>300916</v>
      </c>
      <c r="J331">
        <v>1</v>
      </c>
      <c r="L331" t="s">
        <v>876</v>
      </c>
      <c r="M331" t="s">
        <v>876</v>
      </c>
      <c r="N331" t="s">
        <v>876</v>
      </c>
      <c r="O331" t="s">
        <v>876</v>
      </c>
      <c r="P331" t="s">
        <v>876</v>
      </c>
    </row>
    <row r="332" spans="1:16" x14ac:dyDescent="0.2">
      <c r="A332" s="60" t="s">
        <v>2579</v>
      </c>
      <c r="B332" t="s">
        <v>2580</v>
      </c>
      <c r="C332" t="s">
        <v>2581</v>
      </c>
      <c r="D332" t="s">
        <v>1327</v>
      </c>
      <c r="F332">
        <v>300917</v>
      </c>
      <c r="J332">
        <v>1</v>
      </c>
      <c r="L332" t="s">
        <v>876</v>
      </c>
      <c r="M332" t="s">
        <v>876</v>
      </c>
      <c r="N332" t="s">
        <v>876</v>
      </c>
      <c r="O332" t="s">
        <v>876</v>
      </c>
      <c r="P332" t="s">
        <v>876</v>
      </c>
    </row>
    <row r="333" spans="1:16" x14ac:dyDescent="0.2">
      <c r="A333" s="60" t="s">
        <v>2582</v>
      </c>
      <c r="B333" t="s">
        <v>2583</v>
      </c>
      <c r="C333" t="s">
        <v>2584</v>
      </c>
      <c r="D333" t="s">
        <v>1327</v>
      </c>
      <c r="F333">
        <v>300918</v>
      </c>
      <c r="J333">
        <v>1</v>
      </c>
      <c r="L333" t="s">
        <v>876</v>
      </c>
      <c r="M333" t="s">
        <v>876</v>
      </c>
      <c r="N333" t="s">
        <v>876</v>
      </c>
      <c r="O333" t="s">
        <v>876</v>
      </c>
      <c r="P333" t="s">
        <v>876</v>
      </c>
    </row>
    <row r="334" spans="1:16" x14ac:dyDescent="0.2">
      <c r="A334" s="60" t="s">
        <v>670</v>
      </c>
      <c r="B334" t="s">
        <v>2585</v>
      </c>
      <c r="C334" t="s">
        <v>2586</v>
      </c>
      <c r="D334" t="s">
        <v>1327</v>
      </c>
      <c r="F334">
        <v>300919</v>
      </c>
      <c r="J334">
        <v>1</v>
      </c>
      <c r="L334" t="s">
        <v>876</v>
      </c>
      <c r="M334" t="s">
        <v>876</v>
      </c>
      <c r="N334" t="s">
        <v>876</v>
      </c>
      <c r="O334" t="s">
        <v>876</v>
      </c>
      <c r="P334" t="s">
        <v>876</v>
      </c>
    </row>
    <row r="335" spans="1:16" x14ac:dyDescent="0.2">
      <c r="A335" s="60" t="s">
        <v>1396</v>
      </c>
      <c r="B335" t="s">
        <v>2587</v>
      </c>
      <c r="C335" t="s">
        <v>2588</v>
      </c>
      <c r="D335" t="s">
        <v>1327</v>
      </c>
      <c r="F335">
        <v>300920</v>
      </c>
      <c r="J335">
        <v>1</v>
      </c>
      <c r="L335" t="s">
        <v>876</v>
      </c>
      <c r="M335" t="s">
        <v>876</v>
      </c>
      <c r="N335" t="s">
        <v>876</v>
      </c>
      <c r="O335" t="s">
        <v>876</v>
      </c>
      <c r="P335" t="s">
        <v>876</v>
      </c>
    </row>
    <row r="336" spans="1:16" x14ac:dyDescent="0.2">
      <c r="A336" s="60" t="s">
        <v>2589</v>
      </c>
      <c r="B336" t="s">
        <v>2590</v>
      </c>
      <c r="C336" t="s">
        <v>2591</v>
      </c>
      <c r="D336" t="s">
        <v>1327</v>
      </c>
      <c r="F336">
        <v>300921</v>
      </c>
      <c r="J336">
        <v>1</v>
      </c>
      <c r="L336" t="s">
        <v>876</v>
      </c>
      <c r="M336" t="s">
        <v>876</v>
      </c>
      <c r="N336" t="s">
        <v>876</v>
      </c>
      <c r="O336" t="s">
        <v>876</v>
      </c>
      <c r="P336" t="s">
        <v>876</v>
      </c>
    </row>
    <row r="337" spans="1:16" x14ac:dyDescent="0.2">
      <c r="A337" s="60" t="s">
        <v>901</v>
      </c>
      <c r="B337" t="s">
        <v>2592</v>
      </c>
      <c r="C337" t="s">
        <v>2593</v>
      </c>
      <c r="D337" t="s">
        <v>1327</v>
      </c>
      <c r="F337">
        <v>300922</v>
      </c>
      <c r="J337">
        <v>1</v>
      </c>
      <c r="L337" t="s">
        <v>876</v>
      </c>
      <c r="M337" t="s">
        <v>876</v>
      </c>
      <c r="N337" t="s">
        <v>876</v>
      </c>
      <c r="O337" t="s">
        <v>876</v>
      </c>
      <c r="P337" t="s">
        <v>876</v>
      </c>
    </row>
    <row r="338" spans="1:16" x14ac:dyDescent="0.2">
      <c r="A338" s="60" t="s">
        <v>1401</v>
      </c>
      <c r="B338" t="s">
        <v>2594</v>
      </c>
      <c r="C338" t="s">
        <v>2595</v>
      </c>
      <c r="D338" t="s">
        <v>1327</v>
      </c>
      <c r="F338">
        <v>300923</v>
      </c>
      <c r="J338">
        <v>1</v>
      </c>
      <c r="L338" t="s">
        <v>876</v>
      </c>
      <c r="M338" t="s">
        <v>876</v>
      </c>
      <c r="N338" t="s">
        <v>876</v>
      </c>
      <c r="O338" t="s">
        <v>876</v>
      </c>
      <c r="P338" t="s">
        <v>876</v>
      </c>
    </row>
    <row r="339" spans="1:16" x14ac:dyDescent="0.2">
      <c r="A339" s="60" t="s">
        <v>848</v>
      </c>
      <c r="B339" t="s">
        <v>2596</v>
      </c>
      <c r="C339" t="s">
        <v>2597</v>
      </c>
      <c r="D339" t="s">
        <v>1327</v>
      </c>
      <c r="F339">
        <v>300924</v>
      </c>
      <c r="J339">
        <v>1</v>
      </c>
      <c r="L339" t="s">
        <v>876</v>
      </c>
      <c r="M339" t="s">
        <v>876</v>
      </c>
      <c r="N339" t="s">
        <v>876</v>
      </c>
      <c r="O339" t="s">
        <v>876</v>
      </c>
      <c r="P339" t="s">
        <v>876</v>
      </c>
    </row>
    <row r="340" spans="1:16" x14ac:dyDescent="0.2">
      <c r="A340" s="60" t="s">
        <v>867</v>
      </c>
      <c r="B340" t="s">
        <v>2598</v>
      </c>
      <c r="C340" t="s">
        <v>2599</v>
      </c>
      <c r="D340" t="s">
        <v>1327</v>
      </c>
      <c r="F340">
        <v>300925</v>
      </c>
      <c r="J340">
        <v>1</v>
      </c>
      <c r="L340" t="s">
        <v>876</v>
      </c>
      <c r="M340" t="s">
        <v>876</v>
      </c>
      <c r="N340" t="s">
        <v>876</v>
      </c>
      <c r="O340" t="s">
        <v>876</v>
      </c>
      <c r="P340" t="s">
        <v>876</v>
      </c>
    </row>
    <row r="341" spans="1:16" x14ac:dyDescent="0.2">
      <c r="A341" s="60" t="s">
        <v>905</v>
      </c>
      <c r="B341" t="s">
        <v>2600</v>
      </c>
      <c r="C341" t="s">
        <v>2601</v>
      </c>
      <c r="D341" t="s">
        <v>1327</v>
      </c>
      <c r="F341">
        <v>300926</v>
      </c>
      <c r="J341">
        <v>1</v>
      </c>
      <c r="L341" t="s">
        <v>876</v>
      </c>
      <c r="M341" t="s">
        <v>876</v>
      </c>
      <c r="N341" t="s">
        <v>876</v>
      </c>
      <c r="O341" t="s">
        <v>876</v>
      </c>
      <c r="P341" t="s">
        <v>876</v>
      </c>
    </row>
    <row r="342" spans="1:16" x14ac:dyDescent="0.2">
      <c r="A342" s="60" t="s">
        <v>907</v>
      </c>
      <c r="B342" t="s">
        <v>2602</v>
      </c>
      <c r="C342" t="s">
        <v>2603</v>
      </c>
      <c r="D342" t="s">
        <v>1327</v>
      </c>
      <c r="F342">
        <v>300927</v>
      </c>
      <c r="J342">
        <v>1</v>
      </c>
      <c r="L342" t="s">
        <v>876</v>
      </c>
      <c r="M342" t="s">
        <v>876</v>
      </c>
      <c r="N342" t="s">
        <v>876</v>
      </c>
      <c r="O342" t="s">
        <v>876</v>
      </c>
      <c r="P342" t="s">
        <v>876</v>
      </c>
    </row>
    <row r="343" spans="1:16" x14ac:dyDescent="0.2">
      <c r="A343" s="60" t="s">
        <v>840</v>
      </c>
      <c r="B343" t="s">
        <v>2604</v>
      </c>
      <c r="C343" t="s">
        <v>2605</v>
      </c>
      <c r="D343" t="s">
        <v>1327</v>
      </c>
      <c r="F343">
        <v>300928</v>
      </c>
      <c r="J343">
        <v>1</v>
      </c>
      <c r="L343" t="s">
        <v>876</v>
      </c>
      <c r="M343" t="s">
        <v>876</v>
      </c>
      <c r="N343" t="s">
        <v>876</v>
      </c>
      <c r="O343" t="s">
        <v>876</v>
      </c>
      <c r="P343" t="s">
        <v>876</v>
      </c>
    </row>
    <row r="344" spans="1:16" x14ac:dyDescent="0.2">
      <c r="A344" s="60" t="s">
        <v>836</v>
      </c>
      <c r="B344" t="s">
        <v>2606</v>
      </c>
      <c r="C344" t="s">
        <v>2607</v>
      </c>
      <c r="D344" t="s">
        <v>1327</v>
      </c>
      <c r="F344">
        <v>300929</v>
      </c>
      <c r="J344">
        <v>1</v>
      </c>
      <c r="L344" t="s">
        <v>876</v>
      </c>
      <c r="M344" t="s">
        <v>876</v>
      </c>
      <c r="N344" t="s">
        <v>876</v>
      </c>
      <c r="O344" t="s">
        <v>876</v>
      </c>
      <c r="P344" t="s">
        <v>876</v>
      </c>
    </row>
    <row r="345" spans="1:16" x14ac:dyDescent="0.2">
      <c r="A345" s="60" t="s">
        <v>855</v>
      </c>
      <c r="B345" t="s">
        <v>2608</v>
      </c>
      <c r="C345" t="s">
        <v>2609</v>
      </c>
      <c r="D345" t="s">
        <v>1327</v>
      </c>
      <c r="F345">
        <v>300930</v>
      </c>
      <c r="J345">
        <v>1</v>
      </c>
      <c r="L345" t="s">
        <v>876</v>
      </c>
      <c r="M345" t="s">
        <v>876</v>
      </c>
      <c r="N345" t="s">
        <v>876</v>
      </c>
      <c r="O345" t="s">
        <v>876</v>
      </c>
      <c r="P345" t="s">
        <v>876</v>
      </c>
    </row>
    <row r="346" spans="1:16" x14ac:dyDescent="0.2">
      <c r="A346" s="60" t="s">
        <v>2610</v>
      </c>
      <c r="B346" t="s">
        <v>2611</v>
      </c>
      <c r="C346" t="s">
        <v>2612</v>
      </c>
      <c r="D346" t="s">
        <v>1327</v>
      </c>
      <c r="F346">
        <v>300931</v>
      </c>
      <c r="J346">
        <v>1</v>
      </c>
      <c r="L346" t="s">
        <v>876</v>
      </c>
      <c r="M346" t="s">
        <v>876</v>
      </c>
      <c r="N346" t="s">
        <v>876</v>
      </c>
      <c r="O346" t="s">
        <v>876</v>
      </c>
      <c r="P346" t="s">
        <v>876</v>
      </c>
    </row>
    <row r="347" spans="1:16" x14ac:dyDescent="0.2">
      <c r="A347" s="60" t="s">
        <v>2613</v>
      </c>
      <c r="B347" t="s">
        <v>2614</v>
      </c>
      <c r="C347" t="s">
        <v>2615</v>
      </c>
      <c r="D347" t="s">
        <v>1327</v>
      </c>
      <c r="F347">
        <v>300932</v>
      </c>
      <c r="J347">
        <v>1</v>
      </c>
      <c r="L347" t="s">
        <v>876</v>
      </c>
      <c r="M347" t="s">
        <v>876</v>
      </c>
      <c r="N347" t="s">
        <v>876</v>
      </c>
      <c r="O347" t="s">
        <v>876</v>
      </c>
      <c r="P347" t="s">
        <v>876</v>
      </c>
    </row>
    <row r="348" spans="1:16" x14ac:dyDescent="0.2">
      <c r="A348" s="60" t="s">
        <v>2616</v>
      </c>
      <c r="B348" t="s">
        <v>2617</v>
      </c>
      <c r="C348" t="s">
        <v>2618</v>
      </c>
      <c r="D348" t="s">
        <v>1327</v>
      </c>
      <c r="F348">
        <v>300933</v>
      </c>
      <c r="J348">
        <v>1</v>
      </c>
      <c r="L348" t="s">
        <v>876</v>
      </c>
      <c r="M348" t="s">
        <v>876</v>
      </c>
      <c r="N348" t="s">
        <v>876</v>
      </c>
      <c r="O348" t="s">
        <v>876</v>
      </c>
      <c r="P348" t="s">
        <v>876</v>
      </c>
    </row>
    <row r="349" spans="1:16" x14ac:dyDescent="0.2">
      <c r="A349" s="60" t="s">
        <v>2619</v>
      </c>
      <c r="B349" t="s">
        <v>2620</v>
      </c>
      <c r="C349" t="s">
        <v>2621</v>
      </c>
      <c r="D349" t="s">
        <v>1327</v>
      </c>
      <c r="F349">
        <v>300934</v>
      </c>
      <c r="J349">
        <v>1</v>
      </c>
      <c r="L349" t="s">
        <v>876</v>
      </c>
      <c r="M349" t="s">
        <v>876</v>
      </c>
      <c r="N349" t="s">
        <v>876</v>
      </c>
      <c r="O349" t="s">
        <v>876</v>
      </c>
      <c r="P349" t="s">
        <v>876</v>
      </c>
    </row>
    <row r="350" spans="1:16" x14ac:dyDescent="0.2">
      <c r="A350" s="60" t="s">
        <v>2622</v>
      </c>
      <c r="B350" t="s">
        <v>2623</v>
      </c>
      <c r="C350" t="s">
        <v>2624</v>
      </c>
      <c r="D350" t="s">
        <v>1327</v>
      </c>
      <c r="F350">
        <v>300935</v>
      </c>
      <c r="J350">
        <v>1</v>
      </c>
      <c r="L350" t="s">
        <v>876</v>
      </c>
      <c r="M350" t="s">
        <v>876</v>
      </c>
      <c r="N350" t="s">
        <v>876</v>
      </c>
      <c r="O350" t="s">
        <v>876</v>
      </c>
      <c r="P350" t="s">
        <v>876</v>
      </c>
    </row>
    <row r="351" spans="1:16" x14ac:dyDescent="0.2">
      <c r="A351" s="60" t="s">
        <v>2625</v>
      </c>
      <c r="B351" t="s">
        <v>2626</v>
      </c>
      <c r="C351" t="s">
        <v>2627</v>
      </c>
      <c r="D351" t="s">
        <v>1327</v>
      </c>
      <c r="F351">
        <v>300936</v>
      </c>
      <c r="J351">
        <v>1</v>
      </c>
      <c r="L351" t="s">
        <v>876</v>
      </c>
      <c r="M351" t="s">
        <v>876</v>
      </c>
      <c r="N351" t="s">
        <v>876</v>
      </c>
      <c r="O351" t="s">
        <v>876</v>
      </c>
      <c r="P351" t="s">
        <v>876</v>
      </c>
    </row>
    <row r="352" spans="1:16" x14ac:dyDescent="0.2">
      <c r="A352" s="60" t="s">
        <v>2628</v>
      </c>
      <c r="B352" t="s">
        <v>2629</v>
      </c>
      <c r="C352" t="s">
        <v>2630</v>
      </c>
      <c r="D352" t="s">
        <v>1327</v>
      </c>
      <c r="F352">
        <v>300937</v>
      </c>
      <c r="J352">
        <v>1</v>
      </c>
      <c r="L352" t="s">
        <v>876</v>
      </c>
      <c r="M352" t="s">
        <v>876</v>
      </c>
      <c r="N352" t="s">
        <v>876</v>
      </c>
      <c r="O352" t="s">
        <v>876</v>
      </c>
      <c r="P352" t="s">
        <v>876</v>
      </c>
    </row>
    <row r="353" spans="1:16" x14ac:dyDescent="0.2">
      <c r="A353" s="60" t="s">
        <v>2631</v>
      </c>
      <c r="B353" t="s">
        <v>2632</v>
      </c>
      <c r="C353" t="s">
        <v>2633</v>
      </c>
      <c r="D353" t="s">
        <v>1327</v>
      </c>
      <c r="F353">
        <v>300938</v>
      </c>
      <c r="J353">
        <v>1</v>
      </c>
      <c r="L353" t="s">
        <v>876</v>
      </c>
      <c r="M353" t="s">
        <v>876</v>
      </c>
      <c r="N353" t="s">
        <v>876</v>
      </c>
      <c r="O353" t="s">
        <v>876</v>
      </c>
      <c r="P353" t="s">
        <v>876</v>
      </c>
    </row>
    <row r="354" spans="1:16" x14ac:dyDescent="0.2">
      <c r="A354" s="60" t="s">
        <v>2634</v>
      </c>
      <c r="B354" t="s">
        <v>2635</v>
      </c>
      <c r="C354" t="s">
        <v>2636</v>
      </c>
      <c r="D354" t="s">
        <v>1327</v>
      </c>
      <c r="F354">
        <v>300939</v>
      </c>
      <c r="J354">
        <v>1</v>
      </c>
      <c r="L354" t="s">
        <v>876</v>
      </c>
      <c r="M354" t="s">
        <v>876</v>
      </c>
      <c r="N354" t="s">
        <v>876</v>
      </c>
      <c r="O354" t="s">
        <v>876</v>
      </c>
      <c r="P354" t="s">
        <v>876</v>
      </c>
    </row>
    <row r="355" spans="1:16" x14ac:dyDescent="0.2">
      <c r="A355" s="60" t="s">
        <v>2637</v>
      </c>
      <c r="B355" t="s">
        <v>2638</v>
      </c>
      <c r="C355" t="s">
        <v>2639</v>
      </c>
      <c r="D355" t="s">
        <v>1327</v>
      </c>
      <c r="F355">
        <v>300940</v>
      </c>
      <c r="J355">
        <v>1</v>
      </c>
      <c r="L355" t="s">
        <v>876</v>
      </c>
      <c r="M355" t="s">
        <v>876</v>
      </c>
      <c r="N355" t="s">
        <v>876</v>
      </c>
      <c r="O355" t="s">
        <v>876</v>
      </c>
      <c r="P355" t="s">
        <v>876</v>
      </c>
    </row>
    <row r="356" spans="1:16" x14ac:dyDescent="0.2">
      <c r="A356" s="60" t="s">
        <v>2640</v>
      </c>
      <c r="B356" t="s">
        <v>2641</v>
      </c>
      <c r="C356" t="s">
        <v>2642</v>
      </c>
      <c r="D356" t="s">
        <v>1327</v>
      </c>
      <c r="F356">
        <v>300941</v>
      </c>
      <c r="J356">
        <v>1</v>
      </c>
      <c r="L356" t="s">
        <v>876</v>
      </c>
      <c r="M356" t="s">
        <v>876</v>
      </c>
      <c r="N356" t="s">
        <v>876</v>
      </c>
      <c r="O356" t="s">
        <v>876</v>
      </c>
      <c r="P356" t="s">
        <v>876</v>
      </c>
    </row>
    <row r="357" spans="1:16" x14ac:dyDescent="0.2">
      <c r="A357" s="60" t="s">
        <v>2643</v>
      </c>
      <c r="B357" t="s">
        <v>2644</v>
      </c>
      <c r="C357" t="s">
        <v>2645</v>
      </c>
      <c r="D357" t="s">
        <v>1327</v>
      </c>
      <c r="F357">
        <v>300942</v>
      </c>
      <c r="J357">
        <v>1</v>
      </c>
      <c r="L357" t="s">
        <v>876</v>
      </c>
      <c r="M357" t="s">
        <v>876</v>
      </c>
      <c r="N357" t="s">
        <v>876</v>
      </c>
      <c r="O357" t="s">
        <v>876</v>
      </c>
      <c r="P357" t="s">
        <v>876</v>
      </c>
    </row>
    <row r="358" spans="1:16" x14ac:dyDescent="0.2">
      <c r="A358" s="60" t="s">
        <v>2646</v>
      </c>
      <c r="B358" t="s">
        <v>2647</v>
      </c>
      <c r="C358" t="s">
        <v>2648</v>
      </c>
      <c r="D358" t="s">
        <v>1327</v>
      </c>
      <c r="F358">
        <v>300943</v>
      </c>
      <c r="J358">
        <v>1</v>
      </c>
      <c r="L358" t="s">
        <v>876</v>
      </c>
      <c r="M358" t="s">
        <v>876</v>
      </c>
      <c r="N358" t="s">
        <v>876</v>
      </c>
      <c r="O358" t="s">
        <v>876</v>
      </c>
      <c r="P358" t="s">
        <v>876</v>
      </c>
    </row>
    <row r="359" spans="1:16" x14ac:dyDescent="0.2">
      <c r="A359" s="60" t="s">
        <v>2649</v>
      </c>
      <c r="B359" t="s">
        <v>2650</v>
      </c>
      <c r="C359" t="s">
        <v>2651</v>
      </c>
      <c r="D359" t="s">
        <v>1327</v>
      </c>
      <c r="F359">
        <v>300944</v>
      </c>
      <c r="J359">
        <v>1</v>
      </c>
      <c r="L359" t="s">
        <v>876</v>
      </c>
      <c r="M359" t="s">
        <v>876</v>
      </c>
      <c r="N359" t="s">
        <v>876</v>
      </c>
      <c r="O359" t="s">
        <v>876</v>
      </c>
      <c r="P359" t="s">
        <v>876</v>
      </c>
    </row>
    <row r="360" spans="1:16" x14ac:dyDescent="0.2">
      <c r="A360" s="60" t="s">
        <v>2652</v>
      </c>
      <c r="B360" t="s">
        <v>2653</v>
      </c>
      <c r="C360" t="s">
        <v>2654</v>
      </c>
      <c r="D360" t="s">
        <v>1327</v>
      </c>
      <c r="F360">
        <v>300993</v>
      </c>
      <c r="J360">
        <v>1</v>
      </c>
      <c r="L360" t="s">
        <v>876</v>
      </c>
      <c r="M360" t="s">
        <v>876</v>
      </c>
      <c r="N360" t="s">
        <v>876</v>
      </c>
      <c r="O360" t="s">
        <v>876</v>
      </c>
      <c r="P360" t="s">
        <v>876</v>
      </c>
    </row>
    <row r="361" spans="1:16" x14ac:dyDescent="0.2">
      <c r="A361" s="60" t="s">
        <v>2655</v>
      </c>
      <c r="B361" t="s">
        <v>2656</v>
      </c>
      <c r="C361" t="s">
        <v>2657</v>
      </c>
      <c r="D361" t="s">
        <v>1327</v>
      </c>
      <c r="F361">
        <v>300994</v>
      </c>
      <c r="J361">
        <v>1</v>
      </c>
      <c r="L361" t="s">
        <v>876</v>
      </c>
      <c r="M361" t="s">
        <v>876</v>
      </c>
      <c r="N361" t="s">
        <v>876</v>
      </c>
      <c r="O361" t="s">
        <v>876</v>
      </c>
      <c r="P361" t="s">
        <v>876</v>
      </c>
    </row>
    <row r="362" spans="1:16" x14ac:dyDescent="0.2">
      <c r="A362" s="60" t="s">
        <v>2658</v>
      </c>
      <c r="B362" t="s">
        <v>2659</v>
      </c>
      <c r="C362" t="s">
        <v>2660</v>
      </c>
      <c r="D362" t="s">
        <v>1327</v>
      </c>
      <c r="F362">
        <v>300995</v>
      </c>
      <c r="J362">
        <v>1</v>
      </c>
      <c r="L362" t="s">
        <v>876</v>
      </c>
      <c r="M362" t="s">
        <v>876</v>
      </c>
      <c r="N362" t="s">
        <v>876</v>
      </c>
      <c r="O362" t="s">
        <v>876</v>
      </c>
      <c r="P362" t="s">
        <v>876</v>
      </c>
    </row>
    <row r="363" spans="1:16" x14ac:dyDescent="0.2">
      <c r="A363" s="60" t="s">
        <v>2661</v>
      </c>
      <c r="B363" t="s">
        <v>2662</v>
      </c>
      <c r="C363" t="s">
        <v>2663</v>
      </c>
      <c r="D363" t="s">
        <v>1327</v>
      </c>
      <c r="F363">
        <v>300996</v>
      </c>
      <c r="J363">
        <v>1</v>
      </c>
      <c r="L363" t="s">
        <v>876</v>
      </c>
      <c r="M363" t="s">
        <v>876</v>
      </c>
      <c r="N363" t="s">
        <v>876</v>
      </c>
      <c r="O363" t="s">
        <v>876</v>
      </c>
      <c r="P363" t="s">
        <v>876</v>
      </c>
    </row>
    <row r="364" spans="1:16" x14ac:dyDescent="0.2">
      <c r="A364" s="60" t="s">
        <v>2302</v>
      </c>
      <c r="B364" t="s">
        <v>2664</v>
      </c>
      <c r="C364" t="s">
        <v>2665</v>
      </c>
      <c r="D364" t="s">
        <v>1327</v>
      </c>
      <c r="F364">
        <v>300997</v>
      </c>
      <c r="J364">
        <v>1</v>
      </c>
      <c r="L364" t="s">
        <v>876</v>
      </c>
      <c r="M364" t="s">
        <v>876</v>
      </c>
      <c r="N364" t="s">
        <v>876</v>
      </c>
      <c r="O364" t="s">
        <v>876</v>
      </c>
      <c r="P364" t="s">
        <v>876</v>
      </c>
    </row>
    <row r="365" spans="1:16" x14ac:dyDescent="0.2">
      <c r="A365" s="60" t="s">
        <v>2666</v>
      </c>
      <c r="B365" t="s">
        <v>2667</v>
      </c>
      <c r="C365" t="s">
        <v>2668</v>
      </c>
      <c r="D365" t="s">
        <v>1327</v>
      </c>
      <c r="F365">
        <v>300998</v>
      </c>
      <c r="J365">
        <v>1</v>
      </c>
      <c r="L365" t="s">
        <v>876</v>
      </c>
      <c r="M365" t="s">
        <v>876</v>
      </c>
      <c r="N365" t="s">
        <v>876</v>
      </c>
      <c r="O365" t="s">
        <v>876</v>
      </c>
      <c r="P365" t="s">
        <v>876</v>
      </c>
    </row>
    <row r="366" spans="1:16" x14ac:dyDescent="0.2">
      <c r="A366" s="60" t="s">
        <v>2669</v>
      </c>
      <c r="B366" t="s">
        <v>2670</v>
      </c>
      <c r="C366" t="s">
        <v>2671</v>
      </c>
      <c r="D366" t="s">
        <v>1327</v>
      </c>
      <c r="F366">
        <v>300999</v>
      </c>
      <c r="J366">
        <v>1</v>
      </c>
      <c r="L366" t="s">
        <v>876</v>
      </c>
      <c r="M366" t="s">
        <v>876</v>
      </c>
      <c r="N366" t="s">
        <v>876</v>
      </c>
      <c r="O366" t="s">
        <v>876</v>
      </c>
      <c r="P366" t="s">
        <v>876</v>
      </c>
    </row>
    <row r="367" spans="1:16" x14ac:dyDescent="0.2">
      <c r="A367" s="60" t="s">
        <v>2672</v>
      </c>
      <c r="B367" t="s">
        <v>2673</v>
      </c>
      <c r="C367" t="s">
        <v>2674</v>
      </c>
      <c r="D367" t="s">
        <v>1327</v>
      </c>
      <c r="F367">
        <v>301000</v>
      </c>
      <c r="J367">
        <v>1</v>
      </c>
      <c r="L367" t="s">
        <v>876</v>
      </c>
      <c r="M367" t="s">
        <v>876</v>
      </c>
      <c r="N367" t="s">
        <v>876</v>
      </c>
      <c r="O367" t="s">
        <v>876</v>
      </c>
      <c r="P367" t="s">
        <v>876</v>
      </c>
    </row>
    <row r="368" spans="1:16" x14ac:dyDescent="0.2">
      <c r="A368" s="60" t="s">
        <v>2675</v>
      </c>
      <c r="B368" t="s">
        <v>2676</v>
      </c>
      <c r="C368" t="s">
        <v>2677</v>
      </c>
      <c r="D368" t="s">
        <v>1327</v>
      </c>
      <c r="F368">
        <v>301001</v>
      </c>
      <c r="J368">
        <v>1</v>
      </c>
      <c r="L368" t="s">
        <v>876</v>
      </c>
      <c r="M368" t="s">
        <v>876</v>
      </c>
      <c r="N368" t="s">
        <v>876</v>
      </c>
      <c r="O368" t="s">
        <v>876</v>
      </c>
      <c r="P368" t="s">
        <v>876</v>
      </c>
    </row>
    <row r="369" spans="1:16" x14ac:dyDescent="0.2">
      <c r="A369" s="60" t="s">
        <v>2678</v>
      </c>
      <c r="B369" t="s">
        <v>2679</v>
      </c>
      <c r="C369" t="s">
        <v>2680</v>
      </c>
      <c r="D369" t="s">
        <v>1327</v>
      </c>
      <c r="F369">
        <v>301002</v>
      </c>
      <c r="J369">
        <v>1</v>
      </c>
      <c r="L369" t="s">
        <v>876</v>
      </c>
      <c r="M369" t="s">
        <v>876</v>
      </c>
      <c r="N369" t="s">
        <v>876</v>
      </c>
      <c r="O369" t="s">
        <v>876</v>
      </c>
      <c r="P369" t="s">
        <v>876</v>
      </c>
    </row>
    <row r="370" spans="1:16" x14ac:dyDescent="0.2">
      <c r="A370" s="60" t="s">
        <v>2681</v>
      </c>
      <c r="B370" t="s">
        <v>2682</v>
      </c>
      <c r="C370" t="s">
        <v>2683</v>
      </c>
      <c r="D370" t="s">
        <v>1327</v>
      </c>
      <c r="F370">
        <v>301003</v>
      </c>
      <c r="J370">
        <v>1</v>
      </c>
      <c r="L370" t="s">
        <v>876</v>
      </c>
      <c r="M370" t="s">
        <v>876</v>
      </c>
      <c r="N370" t="s">
        <v>876</v>
      </c>
      <c r="O370" t="s">
        <v>876</v>
      </c>
      <c r="P370" t="s">
        <v>876</v>
      </c>
    </row>
    <row r="371" spans="1:16" x14ac:dyDescent="0.2">
      <c r="A371" s="60" t="s">
        <v>2684</v>
      </c>
      <c r="B371" t="s">
        <v>2685</v>
      </c>
      <c r="C371" t="s">
        <v>2686</v>
      </c>
      <c r="D371" t="s">
        <v>1327</v>
      </c>
      <c r="F371">
        <v>301004</v>
      </c>
      <c r="J371">
        <v>1</v>
      </c>
      <c r="L371" t="s">
        <v>876</v>
      </c>
      <c r="M371" t="s">
        <v>876</v>
      </c>
      <c r="N371" t="s">
        <v>876</v>
      </c>
      <c r="O371" t="s">
        <v>876</v>
      </c>
      <c r="P371" t="s">
        <v>876</v>
      </c>
    </row>
    <row r="372" spans="1:16" x14ac:dyDescent="0.2">
      <c r="A372" s="60" t="s">
        <v>738</v>
      </c>
      <c r="B372" t="s">
        <v>2687</v>
      </c>
      <c r="C372" t="s">
        <v>2688</v>
      </c>
      <c r="D372" t="s">
        <v>1327</v>
      </c>
      <c r="F372">
        <v>301005</v>
      </c>
      <c r="J372">
        <v>1</v>
      </c>
      <c r="L372" t="s">
        <v>876</v>
      </c>
      <c r="M372" t="s">
        <v>876</v>
      </c>
      <c r="N372" t="s">
        <v>876</v>
      </c>
      <c r="O372" t="s">
        <v>876</v>
      </c>
      <c r="P372" t="s">
        <v>876</v>
      </c>
    </row>
    <row r="373" spans="1:16" x14ac:dyDescent="0.2">
      <c r="A373" s="60" t="s">
        <v>984</v>
      </c>
      <c r="B373" t="s">
        <v>2689</v>
      </c>
      <c r="C373" t="s">
        <v>2690</v>
      </c>
      <c r="D373" t="s">
        <v>1327</v>
      </c>
      <c r="F373">
        <v>301006</v>
      </c>
      <c r="J373">
        <v>1</v>
      </c>
      <c r="L373" t="s">
        <v>876</v>
      </c>
      <c r="M373" t="s">
        <v>876</v>
      </c>
      <c r="N373" t="s">
        <v>876</v>
      </c>
      <c r="O373" t="s">
        <v>876</v>
      </c>
      <c r="P373" t="s">
        <v>876</v>
      </c>
    </row>
    <row r="374" spans="1:16" x14ac:dyDescent="0.2">
      <c r="A374" s="60" t="s">
        <v>2691</v>
      </c>
      <c r="B374" t="s">
        <v>2692</v>
      </c>
      <c r="C374" t="s">
        <v>2693</v>
      </c>
      <c r="D374" t="s">
        <v>1327</v>
      </c>
      <c r="F374">
        <v>301007</v>
      </c>
      <c r="J374">
        <v>1</v>
      </c>
      <c r="L374" t="s">
        <v>876</v>
      </c>
      <c r="M374" t="s">
        <v>876</v>
      </c>
      <c r="N374" t="s">
        <v>876</v>
      </c>
      <c r="O374" t="s">
        <v>876</v>
      </c>
      <c r="P374" t="s">
        <v>876</v>
      </c>
    </row>
    <row r="375" spans="1:16" x14ac:dyDescent="0.2">
      <c r="A375" s="60" t="s">
        <v>2694</v>
      </c>
      <c r="B375" t="s">
        <v>2695</v>
      </c>
      <c r="C375" t="s">
        <v>2696</v>
      </c>
      <c r="D375" t="s">
        <v>1327</v>
      </c>
      <c r="F375">
        <v>301008</v>
      </c>
      <c r="J375">
        <v>1</v>
      </c>
      <c r="L375" t="s">
        <v>876</v>
      </c>
      <c r="M375" t="s">
        <v>876</v>
      </c>
      <c r="N375" t="s">
        <v>876</v>
      </c>
      <c r="O375" t="s">
        <v>876</v>
      </c>
      <c r="P375" t="s">
        <v>876</v>
      </c>
    </row>
    <row r="376" spans="1:16" x14ac:dyDescent="0.2">
      <c r="A376" s="60" t="s">
        <v>2697</v>
      </c>
      <c r="B376" t="s">
        <v>2698</v>
      </c>
      <c r="C376" t="s">
        <v>2699</v>
      </c>
      <c r="D376" t="s">
        <v>1327</v>
      </c>
      <c r="F376">
        <v>301009</v>
      </c>
      <c r="J376">
        <v>1</v>
      </c>
      <c r="L376" t="s">
        <v>876</v>
      </c>
      <c r="M376" t="s">
        <v>876</v>
      </c>
      <c r="N376" t="s">
        <v>876</v>
      </c>
      <c r="O376" t="s">
        <v>876</v>
      </c>
      <c r="P376" t="s">
        <v>876</v>
      </c>
    </row>
    <row r="377" spans="1:16" x14ac:dyDescent="0.2">
      <c r="A377" s="60" t="s">
        <v>2700</v>
      </c>
      <c r="B377" t="s">
        <v>2701</v>
      </c>
      <c r="C377" t="s">
        <v>2702</v>
      </c>
      <c r="D377" t="s">
        <v>1327</v>
      </c>
      <c r="F377">
        <v>301010</v>
      </c>
      <c r="J377">
        <v>1</v>
      </c>
      <c r="L377" t="s">
        <v>876</v>
      </c>
      <c r="M377" t="s">
        <v>876</v>
      </c>
      <c r="N377" t="s">
        <v>876</v>
      </c>
      <c r="O377" t="s">
        <v>876</v>
      </c>
      <c r="P377" t="s">
        <v>876</v>
      </c>
    </row>
    <row r="378" spans="1:16" x14ac:dyDescent="0.2">
      <c r="A378" s="60" t="s">
        <v>2703</v>
      </c>
      <c r="B378" t="s">
        <v>2704</v>
      </c>
      <c r="C378" t="s">
        <v>2705</v>
      </c>
      <c r="D378" t="s">
        <v>1327</v>
      </c>
      <c r="F378">
        <v>301011</v>
      </c>
      <c r="J378">
        <v>1</v>
      </c>
      <c r="L378" t="s">
        <v>876</v>
      </c>
      <c r="M378" t="s">
        <v>876</v>
      </c>
      <c r="N378" t="s">
        <v>876</v>
      </c>
      <c r="O378" t="s">
        <v>876</v>
      </c>
      <c r="P378" t="s">
        <v>876</v>
      </c>
    </row>
    <row r="379" spans="1:16" x14ac:dyDescent="0.2">
      <c r="A379" s="60" t="s">
        <v>2706</v>
      </c>
      <c r="B379" t="s">
        <v>2707</v>
      </c>
      <c r="C379" t="s">
        <v>2708</v>
      </c>
      <c r="D379" t="s">
        <v>1327</v>
      </c>
      <c r="F379">
        <v>301017</v>
      </c>
      <c r="J379">
        <v>1</v>
      </c>
      <c r="L379" t="s">
        <v>876</v>
      </c>
      <c r="M379" t="s">
        <v>876</v>
      </c>
      <c r="N379" t="s">
        <v>876</v>
      </c>
      <c r="O379" t="s">
        <v>876</v>
      </c>
      <c r="P379" t="s">
        <v>876</v>
      </c>
    </row>
    <row r="380" spans="1:16" x14ac:dyDescent="0.2">
      <c r="A380" s="60" t="s">
        <v>2709</v>
      </c>
      <c r="B380" t="s">
        <v>2710</v>
      </c>
      <c r="C380" t="s">
        <v>2711</v>
      </c>
      <c r="D380" t="s">
        <v>1327</v>
      </c>
      <c r="F380">
        <v>301018</v>
      </c>
      <c r="J380">
        <v>1</v>
      </c>
      <c r="L380" t="s">
        <v>876</v>
      </c>
      <c r="M380" t="s">
        <v>876</v>
      </c>
      <c r="N380" t="s">
        <v>876</v>
      </c>
      <c r="O380" t="s">
        <v>876</v>
      </c>
      <c r="P380" t="s">
        <v>876</v>
      </c>
    </row>
    <row r="381" spans="1:16" x14ac:dyDescent="0.2">
      <c r="A381" s="60" t="s">
        <v>2712</v>
      </c>
      <c r="B381" t="s">
        <v>2713</v>
      </c>
      <c r="C381" t="s">
        <v>2714</v>
      </c>
      <c r="D381" t="s">
        <v>1327</v>
      </c>
      <c r="F381">
        <v>301019</v>
      </c>
      <c r="J381">
        <v>1</v>
      </c>
      <c r="L381" t="s">
        <v>876</v>
      </c>
      <c r="M381" t="s">
        <v>876</v>
      </c>
      <c r="N381" t="s">
        <v>876</v>
      </c>
      <c r="O381" t="s">
        <v>876</v>
      </c>
      <c r="P381" t="s">
        <v>876</v>
      </c>
    </row>
    <row r="382" spans="1:16" x14ac:dyDescent="0.2">
      <c r="A382" s="60" t="s">
        <v>2715</v>
      </c>
      <c r="B382" t="s">
        <v>2716</v>
      </c>
      <c r="C382" t="s">
        <v>2717</v>
      </c>
      <c r="D382" t="s">
        <v>1327</v>
      </c>
      <c r="F382">
        <v>301020</v>
      </c>
      <c r="J382">
        <v>1</v>
      </c>
      <c r="L382" t="s">
        <v>876</v>
      </c>
      <c r="M382" t="s">
        <v>876</v>
      </c>
      <c r="N382" t="s">
        <v>876</v>
      </c>
      <c r="O382" t="s">
        <v>876</v>
      </c>
      <c r="P382" t="s">
        <v>876</v>
      </c>
    </row>
    <row r="383" spans="1:16" x14ac:dyDescent="0.2">
      <c r="A383" s="60" t="s">
        <v>2718</v>
      </c>
      <c r="B383" t="s">
        <v>2719</v>
      </c>
      <c r="C383" t="s">
        <v>2720</v>
      </c>
      <c r="D383" t="s">
        <v>1327</v>
      </c>
      <c r="F383">
        <v>301021</v>
      </c>
      <c r="J383">
        <v>1</v>
      </c>
      <c r="L383" t="s">
        <v>876</v>
      </c>
      <c r="M383" t="s">
        <v>876</v>
      </c>
      <c r="N383" t="s">
        <v>876</v>
      </c>
      <c r="O383" t="s">
        <v>876</v>
      </c>
      <c r="P383" t="s">
        <v>876</v>
      </c>
    </row>
    <row r="384" spans="1:16" x14ac:dyDescent="0.2">
      <c r="A384" s="60" t="s">
        <v>2721</v>
      </c>
      <c r="B384" t="s">
        <v>2722</v>
      </c>
      <c r="C384" t="s">
        <v>2723</v>
      </c>
      <c r="D384" t="s">
        <v>1327</v>
      </c>
      <c r="F384">
        <v>301022</v>
      </c>
      <c r="J384">
        <v>1</v>
      </c>
      <c r="L384" t="s">
        <v>876</v>
      </c>
      <c r="M384" t="s">
        <v>876</v>
      </c>
      <c r="N384" t="s">
        <v>876</v>
      </c>
      <c r="O384" t="s">
        <v>876</v>
      </c>
      <c r="P384" t="s">
        <v>876</v>
      </c>
    </row>
    <row r="385" spans="1:16" x14ac:dyDescent="0.2">
      <c r="A385" s="60" t="s">
        <v>2724</v>
      </c>
      <c r="B385" t="s">
        <v>2725</v>
      </c>
      <c r="C385" t="s">
        <v>2726</v>
      </c>
      <c r="D385" t="s">
        <v>1327</v>
      </c>
      <c r="F385">
        <v>301023</v>
      </c>
      <c r="J385">
        <v>1</v>
      </c>
      <c r="L385" t="s">
        <v>876</v>
      </c>
      <c r="M385" t="s">
        <v>876</v>
      </c>
      <c r="N385" t="s">
        <v>876</v>
      </c>
      <c r="O385" t="s">
        <v>876</v>
      </c>
      <c r="P385" t="s">
        <v>876</v>
      </c>
    </row>
    <row r="386" spans="1:16" x14ac:dyDescent="0.2">
      <c r="A386" s="60" t="s">
        <v>2727</v>
      </c>
      <c r="B386" t="s">
        <v>2728</v>
      </c>
      <c r="C386" t="s">
        <v>2729</v>
      </c>
      <c r="D386" t="s">
        <v>1327</v>
      </c>
      <c r="F386">
        <v>301024</v>
      </c>
      <c r="J386">
        <v>1</v>
      </c>
      <c r="L386" t="s">
        <v>876</v>
      </c>
      <c r="M386" t="s">
        <v>876</v>
      </c>
      <c r="N386" t="s">
        <v>876</v>
      </c>
      <c r="O386" t="s">
        <v>876</v>
      </c>
      <c r="P386" t="s">
        <v>876</v>
      </c>
    </row>
    <row r="387" spans="1:16" x14ac:dyDescent="0.2">
      <c r="A387" s="60" t="s">
        <v>2730</v>
      </c>
      <c r="B387" t="s">
        <v>2731</v>
      </c>
      <c r="C387" t="s">
        <v>2732</v>
      </c>
      <c r="D387" t="s">
        <v>1327</v>
      </c>
      <c r="F387">
        <v>301025</v>
      </c>
      <c r="J387">
        <v>1</v>
      </c>
      <c r="L387" t="s">
        <v>876</v>
      </c>
      <c r="M387" t="s">
        <v>876</v>
      </c>
      <c r="N387" t="s">
        <v>876</v>
      </c>
      <c r="O387" t="s">
        <v>876</v>
      </c>
      <c r="P387" t="s">
        <v>876</v>
      </c>
    </row>
    <row r="388" spans="1:16" x14ac:dyDescent="0.2">
      <c r="A388" s="60" t="s">
        <v>2733</v>
      </c>
      <c r="B388" t="s">
        <v>2734</v>
      </c>
      <c r="C388" t="s">
        <v>2735</v>
      </c>
      <c r="D388" t="s">
        <v>1327</v>
      </c>
      <c r="F388">
        <v>301026</v>
      </c>
      <c r="J388">
        <v>1</v>
      </c>
      <c r="L388" t="s">
        <v>876</v>
      </c>
      <c r="M388" t="s">
        <v>876</v>
      </c>
      <c r="N388" t="s">
        <v>876</v>
      </c>
      <c r="O388" t="s">
        <v>876</v>
      </c>
      <c r="P388" t="s">
        <v>876</v>
      </c>
    </row>
    <row r="389" spans="1:16" x14ac:dyDescent="0.2">
      <c r="A389" s="60" t="s">
        <v>2736</v>
      </c>
      <c r="B389" t="s">
        <v>2737</v>
      </c>
      <c r="C389" t="s">
        <v>2738</v>
      </c>
      <c r="D389" t="s">
        <v>1327</v>
      </c>
      <c r="F389">
        <v>301027</v>
      </c>
      <c r="J389">
        <v>1</v>
      </c>
      <c r="L389" t="s">
        <v>876</v>
      </c>
      <c r="M389" t="s">
        <v>876</v>
      </c>
      <c r="N389" t="s">
        <v>876</v>
      </c>
      <c r="O389" t="s">
        <v>876</v>
      </c>
      <c r="P389" t="s">
        <v>876</v>
      </c>
    </row>
    <row r="390" spans="1:16" x14ac:dyDescent="0.2">
      <c r="A390" s="60" t="s">
        <v>2739</v>
      </c>
      <c r="B390" t="s">
        <v>2740</v>
      </c>
      <c r="C390" t="s">
        <v>2741</v>
      </c>
      <c r="D390" t="s">
        <v>1327</v>
      </c>
      <c r="F390">
        <v>301028</v>
      </c>
      <c r="J390">
        <v>1</v>
      </c>
      <c r="L390" t="s">
        <v>876</v>
      </c>
      <c r="M390" t="s">
        <v>876</v>
      </c>
      <c r="N390" t="s">
        <v>876</v>
      </c>
      <c r="O390" t="s">
        <v>876</v>
      </c>
      <c r="P390" t="s">
        <v>876</v>
      </c>
    </row>
    <row r="391" spans="1:16" x14ac:dyDescent="0.2">
      <c r="A391" s="60" t="s">
        <v>2742</v>
      </c>
      <c r="B391" t="s">
        <v>2743</v>
      </c>
      <c r="C391" t="s">
        <v>2744</v>
      </c>
      <c r="D391" t="s">
        <v>1327</v>
      </c>
      <c r="F391">
        <v>301029</v>
      </c>
      <c r="J391">
        <v>1</v>
      </c>
      <c r="L391" t="s">
        <v>876</v>
      </c>
      <c r="M391" t="s">
        <v>876</v>
      </c>
      <c r="N391" t="s">
        <v>876</v>
      </c>
      <c r="O391" t="s">
        <v>876</v>
      </c>
      <c r="P391" t="s">
        <v>876</v>
      </c>
    </row>
    <row r="392" spans="1:16" x14ac:dyDescent="0.2">
      <c r="A392" s="60" t="s">
        <v>2745</v>
      </c>
      <c r="B392" t="s">
        <v>2746</v>
      </c>
      <c r="C392" t="s">
        <v>2747</v>
      </c>
      <c r="D392" t="s">
        <v>1327</v>
      </c>
      <c r="F392">
        <v>301030</v>
      </c>
      <c r="J392">
        <v>1</v>
      </c>
      <c r="L392" t="s">
        <v>876</v>
      </c>
      <c r="M392" t="s">
        <v>876</v>
      </c>
      <c r="N392" t="s">
        <v>876</v>
      </c>
      <c r="O392" t="s">
        <v>876</v>
      </c>
      <c r="P392" t="s">
        <v>876</v>
      </c>
    </row>
    <row r="393" spans="1:16" x14ac:dyDescent="0.2">
      <c r="A393" s="60" t="s">
        <v>2748</v>
      </c>
      <c r="B393" t="s">
        <v>2749</v>
      </c>
      <c r="C393" t="s">
        <v>2750</v>
      </c>
      <c r="D393" t="s">
        <v>1327</v>
      </c>
      <c r="F393">
        <v>301031</v>
      </c>
      <c r="J393">
        <v>1</v>
      </c>
      <c r="L393" t="s">
        <v>876</v>
      </c>
      <c r="M393" t="s">
        <v>876</v>
      </c>
      <c r="N393" t="s">
        <v>876</v>
      </c>
      <c r="O393" t="s">
        <v>876</v>
      </c>
      <c r="P393" t="s">
        <v>876</v>
      </c>
    </row>
    <row r="394" spans="1:16" x14ac:dyDescent="0.2">
      <c r="A394" s="60" t="s">
        <v>2751</v>
      </c>
      <c r="B394" t="s">
        <v>2752</v>
      </c>
      <c r="C394" t="s">
        <v>2753</v>
      </c>
      <c r="D394" t="s">
        <v>1327</v>
      </c>
      <c r="F394">
        <v>301032</v>
      </c>
      <c r="J394">
        <v>1</v>
      </c>
      <c r="L394" t="s">
        <v>876</v>
      </c>
      <c r="M394" t="s">
        <v>876</v>
      </c>
      <c r="N394" t="s">
        <v>876</v>
      </c>
      <c r="O394" t="s">
        <v>876</v>
      </c>
      <c r="P394" t="s">
        <v>876</v>
      </c>
    </row>
    <row r="395" spans="1:16" x14ac:dyDescent="0.2">
      <c r="A395" s="60" t="s">
        <v>1413</v>
      </c>
      <c r="B395" t="s">
        <v>2754</v>
      </c>
      <c r="C395" t="s">
        <v>2755</v>
      </c>
      <c r="D395" t="s">
        <v>1327</v>
      </c>
      <c r="F395">
        <v>301033</v>
      </c>
      <c r="J395">
        <v>1</v>
      </c>
      <c r="L395" t="s">
        <v>876</v>
      </c>
      <c r="M395" t="s">
        <v>876</v>
      </c>
      <c r="N395" t="s">
        <v>876</v>
      </c>
      <c r="O395" t="s">
        <v>876</v>
      </c>
      <c r="P395" t="s">
        <v>876</v>
      </c>
    </row>
    <row r="396" spans="1:16" x14ac:dyDescent="0.2">
      <c r="A396" s="60" t="s">
        <v>2756</v>
      </c>
      <c r="B396" t="s">
        <v>2757</v>
      </c>
      <c r="C396" t="s">
        <v>2758</v>
      </c>
      <c r="D396" t="s">
        <v>1327</v>
      </c>
      <c r="F396">
        <v>301034</v>
      </c>
      <c r="J396">
        <v>1</v>
      </c>
      <c r="L396" t="s">
        <v>876</v>
      </c>
      <c r="M396" t="s">
        <v>876</v>
      </c>
      <c r="N396" t="s">
        <v>876</v>
      </c>
      <c r="O396" t="s">
        <v>876</v>
      </c>
      <c r="P396" t="s">
        <v>876</v>
      </c>
    </row>
    <row r="397" spans="1:16" x14ac:dyDescent="0.2">
      <c r="A397" s="60" t="s">
        <v>2759</v>
      </c>
      <c r="B397" t="s">
        <v>2760</v>
      </c>
      <c r="C397" t="s">
        <v>2761</v>
      </c>
      <c r="D397" t="s">
        <v>1327</v>
      </c>
      <c r="F397">
        <v>301035</v>
      </c>
      <c r="J397">
        <v>1</v>
      </c>
      <c r="L397" t="s">
        <v>876</v>
      </c>
      <c r="M397" t="s">
        <v>876</v>
      </c>
      <c r="N397" t="s">
        <v>876</v>
      </c>
      <c r="O397" t="s">
        <v>876</v>
      </c>
      <c r="P397" t="s">
        <v>876</v>
      </c>
    </row>
    <row r="398" spans="1:16" x14ac:dyDescent="0.2">
      <c r="A398" s="60" t="s">
        <v>2762</v>
      </c>
      <c r="B398" t="s">
        <v>2763</v>
      </c>
      <c r="C398" t="s">
        <v>2764</v>
      </c>
      <c r="D398" t="s">
        <v>1327</v>
      </c>
      <c r="F398">
        <v>301036</v>
      </c>
      <c r="J398">
        <v>1</v>
      </c>
      <c r="L398" t="s">
        <v>876</v>
      </c>
      <c r="M398" t="s">
        <v>876</v>
      </c>
      <c r="N398" t="s">
        <v>876</v>
      </c>
      <c r="O398" t="s">
        <v>876</v>
      </c>
      <c r="P398" t="s">
        <v>876</v>
      </c>
    </row>
    <row r="399" spans="1:16" x14ac:dyDescent="0.2">
      <c r="A399" s="60" t="s">
        <v>2765</v>
      </c>
      <c r="B399" t="s">
        <v>2766</v>
      </c>
      <c r="C399" t="s">
        <v>2767</v>
      </c>
      <c r="D399" t="s">
        <v>1327</v>
      </c>
      <c r="F399">
        <v>301037</v>
      </c>
      <c r="J399">
        <v>1</v>
      </c>
      <c r="L399" t="s">
        <v>876</v>
      </c>
      <c r="M399" t="s">
        <v>876</v>
      </c>
      <c r="N399" t="s">
        <v>876</v>
      </c>
      <c r="O399" t="s">
        <v>876</v>
      </c>
      <c r="P399" t="s">
        <v>876</v>
      </c>
    </row>
    <row r="400" spans="1:16" x14ac:dyDescent="0.2">
      <c r="A400" s="60" t="s">
        <v>2768</v>
      </c>
      <c r="B400" t="s">
        <v>2769</v>
      </c>
      <c r="C400" t="s">
        <v>2770</v>
      </c>
      <c r="D400" t="s">
        <v>1327</v>
      </c>
      <c r="F400">
        <v>301038</v>
      </c>
      <c r="J400">
        <v>1</v>
      </c>
      <c r="L400" t="s">
        <v>876</v>
      </c>
      <c r="M400" t="s">
        <v>876</v>
      </c>
      <c r="N400" t="s">
        <v>876</v>
      </c>
      <c r="O400" t="s">
        <v>876</v>
      </c>
      <c r="P400" t="s">
        <v>876</v>
      </c>
    </row>
    <row r="401" spans="1:25" x14ac:dyDescent="0.2">
      <c r="A401" s="60" t="s">
        <v>2771</v>
      </c>
      <c r="B401" t="s">
        <v>2772</v>
      </c>
      <c r="C401" t="s">
        <v>2773</v>
      </c>
      <c r="D401" t="s">
        <v>1327</v>
      </c>
      <c r="F401">
        <v>301039</v>
      </c>
      <c r="J401">
        <v>1</v>
      </c>
      <c r="L401" t="s">
        <v>876</v>
      </c>
      <c r="M401" t="s">
        <v>876</v>
      </c>
      <c r="N401" t="s">
        <v>876</v>
      </c>
      <c r="O401" t="s">
        <v>876</v>
      </c>
      <c r="P401" t="s">
        <v>876</v>
      </c>
    </row>
    <row r="402" spans="1:25" x14ac:dyDescent="0.2">
      <c r="A402" s="60" t="s">
        <v>2774</v>
      </c>
      <c r="B402" t="s">
        <v>2775</v>
      </c>
      <c r="C402" t="s">
        <v>2776</v>
      </c>
      <c r="D402" t="s">
        <v>1327</v>
      </c>
      <c r="F402">
        <v>301040</v>
      </c>
      <c r="J402">
        <v>1</v>
      </c>
      <c r="L402" t="s">
        <v>876</v>
      </c>
      <c r="M402" t="s">
        <v>876</v>
      </c>
      <c r="N402" t="s">
        <v>876</v>
      </c>
      <c r="O402" t="s">
        <v>876</v>
      </c>
      <c r="P402" t="s">
        <v>876</v>
      </c>
    </row>
    <row r="403" spans="1:25" x14ac:dyDescent="0.2">
      <c r="A403" s="60" t="s">
        <v>2777</v>
      </c>
      <c r="B403" t="s">
        <v>2778</v>
      </c>
      <c r="C403" t="s">
        <v>2779</v>
      </c>
      <c r="D403" t="s">
        <v>1327</v>
      </c>
      <c r="F403">
        <v>301041</v>
      </c>
      <c r="J403">
        <v>1</v>
      </c>
      <c r="L403" t="s">
        <v>876</v>
      </c>
      <c r="M403" t="s">
        <v>876</v>
      </c>
      <c r="N403" t="s">
        <v>876</v>
      </c>
      <c r="O403" t="s">
        <v>876</v>
      </c>
      <c r="P403" t="s">
        <v>876</v>
      </c>
    </row>
    <row r="404" spans="1:25" x14ac:dyDescent="0.2">
      <c r="A404" s="60" t="s">
        <v>2780</v>
      </c>
      <c r="B404" t="s">
        <v>2781</v>
      </c>
      <c r="C404" t="s">
        <v>2782</v>
      </c>
      <c r="D404" t="s">
        <v>1327</v>
      </c>
      <c r="F404">
        <v>301042</v>
      </c>
      <c r="J404">
        <v>1</v>
      </c>
      <c r="L404" t="s">
        <v>876</v>
      </c>
      <c r="M404" t="s">
        <v>876</v>
      </c>
      <c r="N404" t="s">
        <v>876</v>
      </c>
      <c r="O404" t="s">
        <v>876</v>
      </c>
      <c r="P404" t="s">
        <v>876</v>
      </c>
    </row>
    <row r="405" spans="1:25" x14ac:dyDescent="0.2">
      <c r="A405" s="60" t="s">
        <v>2783</v>
      </c>
      <c r="B405" t="s">
        <v>2784</v>
      </c>
      <c r="C405" t="s">
        <v>2785</v>
      </c>
      <c r="D405" t="s">
        <v>2285</v>
      </c>
      <c r="F405">
        <v>301043</v>
      </c>
      <c r="J405">
        <v>1</v>
      </c>
      <c r="L405" t="s">
        <v>876</v>
      </c>
      <c r="M405" t="s">
        <v>2309</v>
      </c>
      <c r="N405" t="s">
        <v>876</v>
      </c>
      <c r="O405" t="s">
        <v>876</v>
      </c>
      <c r="P405" t="s">
        <v>876</v>
      </c>
      <c r="T405">
        <v>99.611453310000002</v>
      </c>
      <c r="U405">
        <v>98.608978289999996</v>
      </c>
      <c r="V405">
        <v>106.4744009671042</v>
      </c>
      <c r="W405">
        <v>105.37069527331386</v>
      </c>
      <c r="X405">
        <v>0.11007187692183558</v>
      </c>
      <c r="Y405">
        <v>0.11723260320687907</v>
      </c>
    </row>
    <row r="406" spans="1:25" x14ac:dyDescent="0.2">
      <c r="A406" s="60" t="s">
        <v>2786</v>
      </c>
      <c r="B406" t="s">
        <v>2787</v>
      </c>
      <c r="C406" t="s">
        <v>2788</v>
      </c>
      <c r="D406" t="s">
        <v>1327</v>
      </c>
      <c r="F406">
        <v>301044</v>
      </c>
      <c r="J406">
        <v>1</v>
      </c>
      <c r="L406" t="s">
        <v>876</v>
      </c>
      <c r="M406" t="s">
        <v>876</v>
      </c>
      <c r="N406" t="s">
        <v>876</v>
      </c>
      <c r="O406" t="s">
        <v>876</v>
      </c>
      <c r="P406" t="s">
        <v>876</v>
      </c>
    </row>
    <row r="407" spans="1:25" x14ac:dyDescent="0.2">
      <c r="A407" s="60" t="s">
        <v>2789</v>
      </c>
      <c r="B407" t="s">
        <v>2790</v>
      </c>
      <c r="C407" t="s">
        <v>2791</v>
      </c>
      <c r="D407" t="s">
        <v>1327</v>
      </c>
      <c r="F407">
        <v>301045</v>
      </c>
      <c r="J407">
        <v>1</v>
      </c>
      <c r="L407" t="s">
        <v>876</v>
      </c>
      <c r="M407" t="s">
        <v>876</v>
      </c>
      <c r="N407" t="s">
        <v>876</v>
      </c>
      <c r="O407" t="s">
        <v>876</v>
      </c>
      <c r="P407" t="s">
        <v>876</v>
      </c>
    </row>
    <row r="408" spans="1:25" x14ac:dyDescent="0.2">
      <c r="A408" s="60" t="s">
        <v>2792</v>
      </c>
      <c r="B408" t="s">
        <v>2793</v>
      </c>
      <c r="C408" t="s">
        <v>2794</v>
      </c>
      <c r="D408" t="s">
        <v>1327</v>
      </c>
      <c r="F408">
        <v>301046</v>
      </c>
      <c r="J408">
        <v>1</v>
      </c>
      <c r="L408" t="s">
        <v>876</v>
      </c>
      <c r="M408" t="s">
        <v>876</v>
      </c>
      <c r="N408" t="s">
        <v>876</v>
      </c>
      <c r="O408" t="s">
        <v>876</v>
      </c>
      <c r="P408" t="s">
        <v>876</v>
      </c>
    </row>
    <row r="409" spans="1:25" x14ac:dyDescent="0.2">
      <c r="A409" s="60" t="s">
        <v>2795</v>
      </c>
      <c r="B409" t="s">
        <v>2796</v>
      </c>
      <c r="C409" t="s">
        <v>2797</v>
      </c>
      <c r="D409" t="s">
        <v>1327</v>
      </c>
      <c r="F409">
        <v>301047</v>
      </c>
      <c r="J409">
        <v>1</v>
      </c>
      <c r="L409" t="s">
        <v>876</v>
      </c>
      <c r="M409" t="s">
        <v>876</v>
      </c>
      <c r="N409" t="s">
        <v>876</v>
      </c>
      <c r="O409" t="s">
        <v>876</v>
      </c>
      <c r="P409" t="s">
        <v>876</v>
      </c>
    </row>
    <row r="410" spans="1:25" x14ac:dyDescent="0.2">
      <c r="A410" s="60" t="s">
        <v>2798</v>
      </c>
      <c r="B410" t="s">
        <v>2799</v>
      </c>
      <c r="C410" t="s">
        <v>2800</v>
      </c>
      <c r="D410" t="s">
        <v>1327</v>
      </c>
      <c r="F410">
        <v>301048</v>
      </c>
      <c r="J410">
        <v>1</v>
      </c>
      <c r="L410" t="s">
        <v>876</v>
      </c>
      <c r="M410" t="s">
        <v>876</v>
      </c>
      <c r="N410" t="s">
        <v>876</v>
      </c>
      <c r="O410" t="s">
        <v>876</v>
      </c>
      <c r="P410" t="s">
        <v>876</v>
      </c>
    </row>
    <row r="411" spans="1:25" x14ac:dyDescent="0.2">
      <c r="A411" s="60" t="s">
        <v>2801</v>
      </c>
      <c r="B411" t="s">
        <v>2802</v>
      </c>
      <c r="C411" t="s">
        <v>2803</v>
      </c>
      <c r="D411" t="s">
        <v>1327</v>
      </c>
      <c r="F411">
        <v>301049</v>
      </c>
      <c r="J411">
        <v>1</v>
      </c>
      <c r="L411" t="s">
        <v>876</v>
      </c>
      <c r="M411" t="s">
        <v>876</v>
      </c>
      <c r="N411" t="s">
        <v>876</v>
      </c>
      <c r="O411" t="s">
        <v>876</v>
      </c>
      <c r="P411" t="s">
        <v>876</v>
      </c>
    </row>
    <row r="412" spans="1:25" x14ac:dyDescent="0.2">
      <c r="A412" s="60" t="s">
        <v>2804</v>
      </c>
      <c r="B412" t="s">
        <v>2805</v>
      </c>
      <c r="C412" t="s">
        <v>2806</v>
      </c>
      <c r="D412" t="s">
        <v>1327</v>
      </c>
      <c r="F412">
        <v>301050</v>
      </c>
      <c r="J412">
        <v>1</v>
      </c>
      <c r="L412" t="s">
        <v>876</v>
      </c>
      <c r="M412" t="s">
        <v>876</v>
      </c>
      <c r="N412" t="s">
        <v>876</v>
      </c>
      <c r="O412" t="s">
        <v>876</v>
      </c>
      <c r="P412" t="s">
        <v>876</v>
      </c>
    </row>
    <row r="413" spans="1:25" x14ac:dyDescent="0.2">
      <c r="A413" s="60" t="s">
        <v>2807</v>
      </c>
      <c r="B413" t="s">
        <v>2808</v>
      </c>
      <c r="C413" t="s">
        <v>2809</v>
      </c>
      <c r="D413" t="s">
        <v>1327</v>
      </c>
      <c r="F413">
        <v>301051</v>
      </c>
      <c r="J413">
        <v>1</v>
      </c>
      <c r="L413" t="s">
        <v>876</v>
      </c>
      <c r="M413" t="s">
        <v>876</v>
      </c>
      <c r="N413" t="s">
        <v>876</v>
      </c>
      <c r="O413" t="s">
        <v>876</v>
      </c>
      <c r="P413" t="s">
        <v>876</v>
      </c>
    </row>
    <row r="414" spans="1:25" x14ac:dyDescent="0.2">
      <c r="A414" s="60" t="s">
        <v>2810</v>
      </c>
      <c r="B414" t="s">
        <v>2811</v>
      </c>
      <c r="C414" t="s">
        <v>2812</v>
      </c>
      <c r="D414" t="s">
        <v>1327</v>
      </c>
      <c r="F414">
        <v>301052</v>
      </c>
      <c r="J414">
        <v>1</v>
      </c>
      <c r="L414" t="s">
        <v>876</v>
      </c>
      <c r="M414" t="s">
        <v>876</v>
      </c>
      <c r="N414" t="s">
        <v>876</v>
      </c>
      <c r="O414" t="s">
        <v>876</v>
      </c>
      <c r="P414" t="s">
        <v>876</v>
      </c>
    </row>
    <row r="415" spans="1:25" x14ac:dyDescent="0.2">
      <c r="A415" s="60" t="s">
        <v>2813</v>
      </c>
      <c r="B415" t="s">
        <v>2814</v>
      </c>
      <c r="C415" t="s">
        <v>2815</v>
      </c>
      <c r="D415" t="s">
        <v>1327</v>
      </c>
      <c r="F415">
        <v>301053</v>
      </c>
      <c r="J415">
        <v>1</v>
      </c>
      <c r="L415" t="s">
        <v>876</v>
      </c>
      <c r="M415" t="s">
        <v>876</v>
      </c>
      <c r="N415" t="s">
        <v>876</v>
      </c>
      <c r="O415" t="s">
        <v>876</v>
      </c>
      <c r="P415" t="s">
        <v>876</v>
      </c>
    </row>
    <row r="416" spans="1:25" x14ac:dyDescent="0.2">
      <c r="A416" s="60" t="s">
        <v>2816</v>
      </c>
      <c r="B416" t="s">
        <v>2817</v>
      </c>
      <c r="C416" t="s">
        <v>2818</v>
      </c>
      <c r="D416" t="s">
        <v>1327</v>
      </c>
      <c r="F416">
        <v>301054</v>
      </c>
      <c r="J416">
        <v>1</v>
      </c>
      <c r="L416" t="s">
        <v>876</v>
      </c>
      <c r="M416" t="s">
        <v>876</v>
      </c>
      <c r="N416" t="s">
        <v>876</v>
      </c>
      <c r="O416" t="s">
        <v>876</v>
      </c>
      <c r="P416" t="s">
        <v>876</v>
      </c>
    </row>
    <row r="417" spans="1:16" x14ac:dyDescent="0.2">
      <c r="A417" s="60" t="s">
        <v>2819</v>
      </c>
      <c r="B417" t="s">
        <v>2820</v>
      </c>
      <c r="C417" t="s">
        <v>2821</v>
      </c>
      <c r="D417" t="s">
        <v>1327</v>
      </c>
      <c r="F417">
        <v>301055</v>
      </c>
      <c r="J417">
        <v>1</v>
      </c>
      <c r="L417" t="s">
        <v>876</v>
      </c>
      <c r="M417" t="s">
        <v>876</v>
      </c>
      <c r="N417" t="s">
        <v>876</v>
      </c>
      <c r="O417" t="s">
        <v>876</v>
      </c>
      <c r="P417" t="s">
        <v>876</v>
      </c>
    </row>
    <row r="418" spans="1:16" x14ac:dyDescent="0.2">
      <c r="A418" s="60" t="s">
        <v>2822</v>
      </c>
      <c r="B418" t="s">
        <v>2823</v>
      </c>
      <c r="C418" t="s">
        <v>2824</v>
      </c>
      <c r="D418" t="s">
        <v>1327</v>
      </c>
      <c r="F418">
        <v>301056</v>
      </c>
      <c r="J418">
        <v>1</v>
      </c>
      <c r="L418" t="s">
        <v>876</v>
      </c>
      <c r="M418" t="s">
        <v>876</v>
      </c>
      <c r="N418" t="s">
        <v>876</v>
      </c>
      <c r="O418" t="s">
        <v>876</v>
      </c>
      <c r="P418" t="s">
        <v>876</v>
      </c>
    </row>
    <row r="419" spans="1:16" x14ac:dyDescent="0.2">
      <c r="A419" s="60" t="s">
        <v>2825</v>
      </c>
      <c r="B419" t="s">
        <v>2826</v>
      </c>
      <c r="C419" t="s">
        <v>2827</v>
      </c>
      <c r="D419" t="s">
        <v>1327</v>
      </c>
      <c r="F419">
        <v>301057</v>
      </c>
      <c r="J419">
        <v>1</v>
      </c>
      <c r="L419" t="s">
        <v>876</v>
      </c>
      <c r="M419" t="s">
        <v>876</v>
      </c>
      <c r="N419" t="s">
        <v>876</v>
      </c>
      <c r="O419" t="s">
        <v>876</v>
      </c>
      <c r="P419" t="s">
        <v>876</v>
      </c>
    </row>
    <row r="420" spans="1:16" x14ac:dyDescent="0.2">
      <c r="A420" s="60" t="s">
        <v>2828</v>
      </c>
      <c r="B420" t="s">
        <v>2829</v>
      </c>
      <c r="C420" t="s">
        <v>2830</v>
      </c>
      <c r="D420" t="s">
        <v>1327</v>
      </c>
      <c r="F420">
        <v>301058</v>
      </c>
      <c r="J420">
        <v>1</v>
      </c>
      <c r="L420" t="s">
        <v>876</v>
      </c>
      <c r="M420" t="s">
        <v>876</v>
      </c>
      <c r="N420" t="s">
        <v>876</v>
      </c>
      <c r="O420" t="s">
        <v>876</v>
      </c>
      <c r="P420" t="s">
        <v>876</v>
      </c>
    </row>
    <row r="421" spans="1:16" x14ac:dyDescent="0.2">
      <c r="A421" s="60" t="s">
        <v>2831</v>
      </c>
      <c r="B421" t="s">
        <v>2832</v>
      </c>
      <c r="C421" t="s">
        <v>2833</v>
      </c>
      <c r="D421" t="s">
        <v>1327</v>
      </c>
      <c r="F421">
        <v>301059</v>
      </c>
      <c r="J421">
        <v>1</v>
      </c>
      <c r="L421" t="s">
        <v>876</v>
      </c>
      <c r="M421" t="s">
        <v>876</v>
      </c>
      <c r="N421" t="s">
        <v>876</v>
      </c>
      <c r="O421" t="s">
        <v>876</v>
      </c>
      <c r="P421" t="s">
        <v>876</v>
      </c>
    </row>
    <row r="422" spans="1:16" x14ac:dyDescent="0.2">
      <c r="A422" s="60" t="s">
        <v>2834</v>
      </c>
      <c r="B422" t="s">
        <v>2835</v>
      </c>
      <c r="C422" t="s">
        <v>2836</v>
      </c>
      <c r="D422" t="s">
        <v>1327</v>
      </c>
      <c r="F422">
        <v>301060</v>
      </c>
      <c r="J422">
        <v>1</v>
      </c>
      <c r="L422" t="s">
        <v>876</v>
      </c>
      <c r="M422" t="s">
        <v>876</v>
      </c>
      <c r="N422" t="s">
        <v>876</v>
      </c>
      <c r="O422" t="s">
        <v>876</v>
      </c>
      <c r="P422" t="s">
        <v>876</v>
      </c>
    </row>
    <row r="423" spans="1:16" x14ac:dyDescent="0.2">
      <c r="A423" s="60" t="s">
        <v>2837</v>
      </c>
      <c r="B423" t="s">
        <v>2838</v>
      </c>
      <c r="C423" t="s">
        <v>2839</v>
      </c>
      <c r="D423" t="s">
        <v>1327</v>
      </c>
      <c r="F423">
        <v>301061</v>
      </c>
      <c r="J423">
        <v>1</v>
      </c>
      <c r="L423" t="s">
        <v>876</v>
      </c>
      <c r="M423" t="s">
        <v>876</v>
      </c>
      <c r="N423" t="s">
        <v>876</v>
      </c>
      <c r="O423" t="s">
        <v>876</v>
      </c>
      <c r="P423" t="s">
        <v>876</v>
      </c>
    </row>
    <row r="424" spans="1:16" x14ac:dyDescent="0.2">
      <c r="A424" s="60" t="s">
        <v>2840</v>
      </c>
      <c r="B424" t="s">
        <v>2841</v>
      </c>
      <c r="C424" t="s">
        <v>2842</v>
      </c>
      <c r="D424" t="s">
        <v>1327</v>
      </c>
      <c r="F424">
        <v>301062</v>
      </c>
      <c r="J424">
        <v>1</v>
      </c>
      <c r="L424" t="s">
        <v>876</v>
      </c>
      <c r="M424" t="s">
        <v>876</v>
      </c>
      <c r="N424" t="s">
        <v>876</v>
      </c>
      <c r="O424" t="s">
        <v>876</v>
      </c>
      <c r="P424" t="s">
        <v>876</v>
      </c>
    </row>
    <row r="425" spans="1:16" x14ac:dyDescent="0.2">
      <c r="A425" s="60" t="s">
        <v>909</v>
      </c>
      <c r="B425" t="s">
        <v>2843</v>
      </c>
      <c r="C425" t="s">
        <v>2844</v>
      </c>
      <c r="D425" t="s">
        <v>1327</v>
      </c>
      <c r="F425">
        <v>301063</v>
      </c>
      <c r="J425">
        <v>1</v>
      </c>
      <c r="L425" t="s">
        <v>876</v>
      </c>
      <c r="M425" t="s">
        <v>876</v>
      </c>
      <c r="N425" t="s">
        <v>876</v>
      </c>
      <c r="O425" t="s">
        <v>876</v>
      </c>
      <c r="P425" t="s">
        <v>876</v>
      </c>
    </row>
    <row r="426" spans="1:16" x14ac:dyDescent="0.2">
      <c r="A426" s="60" t="s">
        <v>911</v>
      </c>
      <c r="B426" t="s">
        <v>2845</v>
      </c>
      <c r="C426" t="s">
        <v>2846</v>
      </c>
      <c r="D426" t="s">
        <v>1327</v>
      </c>
      <c r="F426">
        <v>301064</v>
      </c>
      <c r="J426">
        <v>1</v>
      </c>
      <c r="L426" t="s">
        <v>876</v>
      </c>
      <c r="M426" t="s">
        <v>876</v>
      </c>
      <c r="N426" t="s">
        <v>876</v>
      </c>
      <c r="O426" t="s">
        <v>876</v>
      </c>
      <c r="P426" t="s">
        <v>876</v>
      </c>
    </row>
    <row r="427" spans="1:16" x14ac:dyDescent="0.2">
      <c r="A427" s="60" t="s">
        <v>913</v>
      </c>
      <c r="B427" t="s">
        <v>2847</v>
      </c>
      <c r="C427" t="s">
        <v>2848</v>
      </c>
      <c r="D427" t="s">
        <v>1327</v>
      </c>
      <c r="F427">
        <v>301065</v>
      </c>
      <c r="J427">
        <v>1</v>
      </c>
      <c r="L427" t="s">
        <v>876</v>
      </c>
      <c r="M427" t="s">
        <v>876</v>
      </c>
      <c r="N427" t="s">
        <v>876</v>
      </c>
      <c r="O427" t="s">
        <v>876</v>
      </c>
      <c r="P427" t="s">
        <v>876</v>
      </c>
    </row>
    <row r="428" spans="1:16" x14ac:dyDescent="0.2">
      <c r="A428" s="60" t="s">
        <v>916</v>
      </c>
      <c r="B428" t="s">
        <v>2849</v>
      </c>
      <c r="C428" t="s">
        <v>2850</v>
      </c>
      <c r="D428" t="s">
        <v>1327</v>
      </c>
      <c r="F428">
        <v>301066</v>
      </c>
      <c r="J428">
        <v>1</v>
      </c>
      <c r="L428" t="s">
        <v>876</v>
      </c>
      <c r="M428" t="s">
        <v>876</v>
      </c>
      <c r="N428" t="s">
        <v>876</v>
      </c>
      <c r="O428" t="s">
        <v>876</v>
      </c>
      <c r="P428" t="s">
        <v>876</v>
      </c>
    </row>
    <row r="429" spans="1:16" x14ac:dyDescent="0.2">
      <c r="A429" s="60" t="s">
        <v>918</v>
      </c>
      <c r="B429" t="s">
        <v>2851</v>
      </c>
      <c r="C429" t="s">
        <v>2852</v>
      </c>
      <c r="D429" t="s">
        <v>1327</v>
      </c>
      <c r="F429">
        <v>301067</v>
      </c>
      <c r="J429">
        <v>1</v>
      </c>
      <c r="L429" t="s">
        <v>876</v>
      </c>
      <c r="M429" t="s">
        <v>876</v>
      </c>
      <c r="N429" t="s">
        <v>876</v>
      </c>
      <c r="O429" t="s">
        <v>876</v>
      </c>
      <c r="P429" t="s">
        <v>876</v>
      </c>
    </row>
    <row r="430" spans="1:16" x14ac:dyDescent="0.2">
      <c r="A430" s="60" t="s">
        <v>2853</v>
      </c>
      <c r="B430" t="s">
        <v>2854</v>
      </c>
      <c r="C430" t="s">
        <v>2855</v>
      </c>
      <c r="D430" t="s">
        <v>1327</v>
      </c>
      <c r="F430">
        <v>301068</v>
      </c>
      <c r="J430">
        <v>1</v>
      </c>
      <c r="L430" t="s">
        <v>876</v>
      </c>
      <c r="M430" t="s">
        <v>876</v>
      </c>
      <c r="N430" t="s">
        <v>876</v>
      </c>
      <c r="O430" t="s">
        <v>876</v>
      </c>
      <c r="P430" t="s">
        <v>876</v>
      </c>
    </row>
    <row r="431" spans="1:16" x14ac:dyDescent="0.2">
      <c r="A431" s="60" t="s">
        <v>2856</v>
      </c>
      <c r="B431" t="s">
        <v>2857</v>
      </c>
      <c r="C431" t="s">
        <v>2858</v>
      </c>
      <c r="D431" t="s">
        <v>1327</v>
      </c>
      <c r="F431">
        <v>301069</v>
      </c>
      <c r="J431">
        <v>1</v>
      </c>
      <c r="L431" t="s">
        <v>876</v>
      </c>
      <c r="M431" t="s">
        <v>876</v>
      </c>
      <c r="N431" t="s">
        <v>876</v>
      </c>
      <c r="O431" t="s">
        <v>876</v>
      </c>
      <c r="P431" t="s">
        <v>876</v>
      </c>
    </row>
    <row r="432" spans="1:16" x14ac:dyDescent="0.2">
      <c r="A432" s="60" t="s">
        <v>2859</v>
      </c>
      <c r="B432" t="s">
        <v>2860</v>
      </c>
      <c r="C432" t="s">
        <v>2861</v>
      </c>
      <c r="D432" t="s">
        <v>1327</v>
      </c>
      <c r="F432">
        <v>301070</v>
      </c>
      <c r="J432">
        <v>1</v>
      </c>
      <c r="L432" t="s">
        <v>876</v>
      </c>
      <c r="M432" t="s">
        <v>876</v>
      </c>
      <c r="N432" t="s">
        <v>876</v>
      </c>
      <c r="O432" t="s">
        <v>876</v>
      </c>
      <c r="P432" t="s">
        <v>876</v>
      </c>
    </row>
    <row r="433" spans="1:16" x14ac:dyDescent="0.2">
      <c r="A433" s="60" t="s">
        <v>2862</v>
      </c>
      <c r="B433" t="s">
        <v>2863</v>
      </c>
      <c r="C433" t="s">
        <v>2864</v>
      </c>
      <c r="D433" t="s">
        <v>1327</v>
      </c>
      <c r="F433">
        <v>301071</v>
      </c>
      <c r="J433">
        <v>1</v>
      </c>
      <c r="L433" t="s">
        <v>876</v>
      </c>
      <c r="M433" t="s">
        <v>876</v>
      </c>
      <c r="N433" t="s">
        <v>876</v>
      </c>
      <c r="O433" t="s">
        <v>876</v>
      </c>
      <c r="P433" t="s">
        <v>876</v>
      </c>
    </row>
    <row r="434" spans="1:16" x14ac:dyDescent="0.2">
      <c r="A434" s="60" t="s">
        <v>2865</v>
      </c>
      <c r="B434" t="s">
        <v>2866</v>
      </c>
      <c r="C434" t="s">
        <v>2867</v>
      </c>
      <c r="D434" t="s">
        <v>1327</v>
      </c>
      <c r="F434">
        <v>301072</v>
      </c>
      <c r="J434">
        <v>1</v>
      </c>
      <c r="L434" t="s">
        <v>876</v>
      </c>
      <c r="M434" t="s">
        <v>876</v>
      </c>
      <c r="N434" t="s">
        <v>876</v>
      </c>
      <c r="O434" t="s">
        <v>876</v>
      </c>
      <c r="P434" t="s">
        <v>876</v>
      </c>
    </row>
    <row r="435" spans="1:16" x14ac:dyDescent="0.2">
      <c r="A435" s="60" t="s">
        <v>2868</v>
      </c>
      <c r="B435" t="s">
        <v>2869</v>
      </c>
      <c r="C435" t="s">
        <v>2870</v>
      </c>
      <c r="D435" t="s">
        <v>1327</v>
      </c>
      <c r="F435">
        <v>301073</v>
      </c>
      <c r="J435">
        <v>1</v>
      </c>
      <c r="L435" t="s">
        <v>876</v>
      </c>
      <c r="M435" t="s">
        <v>876</v>
      </c>
      <c r="N435" t="s">
        <v>876</v>
      </c>
      <c r="O435" t="s">
        <v>876</v>
      </c>
      <c r="P435" t="s">
        <v>876</v>
      </c>
    </row>
    <row r="436" spans="1:16" x14ac:dyDescent="0.2">
      <c r="A436" s="60" t="s">
        <v>859</v>
      </c>
      <c r="B436" t="s">
        <v>2871</v>
      </c>
      <c r="C436" t="s">
        <v>2872</v>
      </c>
      <c r="D436" t="s">
        <v>1327</v>
      </c>
      <c r="F436">
        <v>301074</v>
      </c>
      <c r="J436">
        <v>1</v>
      </c>
      <c r="L436" t="s">
        <v>876</v>
      </c>
      <c r="M436" t="s">
        <v>876</v>
      </c>
      <c r="N436" t="s">
        <v>876</v>
      </c>
      <c r="O436" t="s">
        <v>876</v>
      </c>
      <c r="P436" t="s">
        <v>876</v>
      </c>
    </row>
    <row r="437" spans="1:16" x14ac:dyDescent="0.2">
      <c r="A437" s="60" t="s">
        <v>838</v>
      </c>
      <c r="B437" t="s">
        <v>2873</v>
      </c>
      <c r="C437" t="s">
        <v>2874</v>
      </c>
      <c r="D437" t="s">
        <v>1327</v>
      </c>
      <c r="F437">
        <v>301075</v>
      </c>
      <c r="J437">
        <v>1</v>
      </c>
      <c r="L437" t="s">
        <v>876</v>
      </c>
      <c r="M437" t="s">
        <v>876</v>
      </c>
      <c r="N437" t="s">
        <v>876</v>
      </c>
      <c r="O437" t="s">
        <v>876</v>
      </c>
      <c r="P437" t="s">
        <v>876</v>
      </c>
    </row>
    <row r="438" spans="1:16" x14ac:dyDescent="0.2">
      <c r="A438" s="60" t="s">
        <v>870</v>
      </c>
      <c r="B438" t="s">
        <v>2875</v>
      </c>
      <c r="C438" t="s">
        <v>2876</v>
      </c>
      <c r="D438" t="s">
        <v>1327</v>
      </c>
      <c r="F438">
        <v>301076</v>
      </c>
      <c r="J438">
        <v>1</v>
      </c>
      <c r="L438" t="s">
        <v>876</v>
      </c>
      <c r="M438" t="s">
        <v>876</v>
      </c>
      <c r="N438" t="s">
        <v>876</v>
      </c>
      <c r="O438" t="s">
        <v>876</v>
      </c>
      <c r="P438" t="s">
        <v>876</v>
      </c>
    </row>
    <row r="439" spans="1:16" x14ac:dyDescent="0.2">
      <c r="A439" s="60" t="s">
        <v>850</v>
      </c>
      <c r="B439" t="s">
        <v>2877</v>
      </c>
      <c r="C439" t="s">
        <v>2878</v>
      </c>
      <c r="D439" t="s">
        <v>1327</v>
      </c>
      <c r="F439">
        <v>301077</v>
      </c>
      <c r="J439">
        <v>1</v>
      </c>
      <c r="L439" t="s">
        <v>876</v>
      </c>
      <c r="M439" t="s">
        <v>876</v>
      </c>
      <c r="N439" t="s">
        <v>876</v>
      </c>
      <c r="O439" t="s">
        <v>876</v>
      </c>
      <c r="P439" t="s">
        <v>876</v>
      </c>
    </row>
    <row r="440" spans="1:16" x14ac:dyDescent="0.2">
      <c r="A440" s="60" t="s">
        <v>846</v>
      </c>
      <c r="B440" t="s">
        <v>2879</v>
      </c>
      <c r="C440" t="s">
        <v>2880</v>
      </c>
      <c r="D440" t="s">
        <v>1327</v>
      </c>
      <c r="F440">
        <v>301078</v>
      </c>
      <c r="J440">
        <v>1</v>
      </c>
      <c r="L440" t="s">
        <v>876</v>
      </c>
      <c r="M440" t="s">
        <v>876</v>
      </c>
      <c r="N440" t="s">
        <v>876</v>
      </c>
      <c r="O440" t="s">
        <v>876</v>
      </c>
      <c r="P440" t="s">
        <v>876</v>
      </c>
    </row>
    <row r="441" spans="1:16" x14ac:dyDescent="0.2">
      <c r="A441" s="60" t="s">
        <v>2881</v>
      </c>
      <c r="B441" t="s">
        <v>2882</v>
      </c>
      <c r="C441" t="s">
        <v>2883</v>
      </c>
      <c r="D441" t="s">
        <v>1327</v>
      </c>
      <c r="F441">
        <v>301079</v>
      </c>
      <c r="J441">
        <v>1</v>
      </c>
      <c r="L441" t="s">
        <v>876</v>
      </c>
      <c r="M441" t="s">
        <v>876</v>
      </c>
      <c r="N441" t="s">
        <v>876</v>
      </c>
      <c r="O441" t="s">
        <v>876</v>
      </c>
      <c r="P441" t="s">
        <v>876</v>
      </c>
    </row>
    <row r="442" spans="1:16" x14ac:dyDescent="0.2">
      <c r="A442" s="60" t="s">
        <v>987</v>
      </c>
      <c r="B442" t="s">
        <v>2884</v>
      </c>
      <c r="C442" t="s">
        <v>2885</v>
      </c>
      <c r="D442" t="s">
        <v>1327</v>
      </c>
      <c r="F442">
        <v>301080</v>
      </c>
      <c r="J442">
        <v>1</v>
      </c>
      <c r="L442" t="s">
        <v>876</v>
      </c>
      <c r="M442" t="s">
        <v>876</v>
      </c>
      <c r="N442" t="s">
        <v>876</v>
      </c>
      <c r="O442" t="s">
        <v>876</v>
      </c>
      <c r="P442" t="s">
        <v>876</v>
      </c>
    </row>
    <row r="443" spans="1:16" x14ac:dyDescent="0.2">
      <c r="A443" s="60" t="s">
        <v>2886</v>
      </c>
      <c r="B443" t="s">
        <v>2887</v>
      </c>
      <c r="C443" t="s">
        <v>2888</v>
      </c>
      <c r="D443" t="s">
        <v>1327</v>
      </c>
      <c r="F443">
        <v>301081</v>
      </c>
      <c r="J443">
        <v>1</v>
      </c>
      <c r="L443" t="s">
        <v>876</v>
      </c>
      <c r="M443" t="s">
        <v>876</v>
      </c>
      <c r="N443" t="s">
        <v>876</v>
      </c>
      <c r="O443" t="s">
        <v>876</v>
      </c>
      <c r="P443" t="s">
        <v>876</v>
      </c>
    </row>
    <row r="444" spans="1:16" x14ac:dyDescent="0.2">
      <c r="A444" s="60" t="s">
        <v>2889</v>
      </c>
      <c r="B444" t="s">
        <v>2890</v>
      </c>
      <c r="C444" t="s">
        <v>2891</v>
      </c>
      <c r="D444" t="s">
        <v>1327</v>
      </c>
      <c r="F444">
        <v>301082</v>
      </c>
      <c r="J444">
        <v>1</v>
      </c>
      <c r="L444" t="s">
        <v>876</v>
      </c>
      <c r="M444" t="s">
        <v>876</v>
      </c>
      <c r="N444" t="s">
        <v>876</v>
      </c>
      <c r="O444" t="s">
        <v>876</v>
      </c>
      <c r="P444" t="s">
        <v>876</v>
      </c>
    </row>
    <row r="445" spans="1:16" x14ac:dyDescent="0.2">
      <c r="A445" s="60" t="s">
        <v>2892</v>
      </c>
      <c r="B445" t="s">
        <v>2893</v>
      </c>
      <c r="C445" t="s">
        <v>2894</v>
      </c>
      <c r="D445" t="s">
        <v>1327</v>
      </c>
      <c r="F445">
        <v>301083</v>
      </c>
      <c r="J445">
        <v>1</v>
      </c>
      <c r="L445" t="s">
        <v>876</v>
      </c>
      <c r="M445" t="s">
        <v>876</v>
      </c>
      <c r="N445" t="s">
        <v>876</v>
      </c>
      <c r="O445" t="s">
        <v>876</v>
      </c>
      <c r="P445" t="s">
        <v>876</v>
      </c>
    </row>
    <row r="446" spans="1:16" x14ac:dyDescent="0.2">
      <c r="A446" s="60" t="s">
        <v>2895</v>
      </c>
      <c r="B446" t="s">
        <v>2896</v>
      </c>
      <c r="C446" t="s">
        <v>2897</v>
      </c>
      <c r="D446" t="s">
        <v>1327</v>
      </c>
      <c r="F446">
        <v>301084</v>
      </c>
      <c r="J446">
        <v>1</v>
      </c>
      <c r="L446" t="s">
        <v>876</v>
      </c>
      <c r="M446" t="s">
        <v>876</v>
      </c>
      <c r="N446" t="s">
        <v>876</v>
      </c>
      <c r="O446" t="s">
        <v>876</v>
      </c>
      <c r="P446" t="s">
        <v>876</v>
      </c>
    </row>
    <row r="447" spans="1:16" x14ac:dyDescent="0.2">
      <c r="A447" s="60" t="s">
        <v>2898</v>
      </c>
      <c r="B447" t="s">
        <v>2899</v>
      </c>
      <c r="C447" t="s">
        <v>2900</v>
      </c>
      <c r="D447" t="s">
        <v>1327</v>
      </c>
      <c r="F447">
        <v>301085</v>
      </c>
      <c r="J447">
        <v>1</v>
      </c>
      <c r="L447" t="s">
        <v>876</v>
      </c>
      <c r="M447" t="s">
        <v>876</v>
      </c>
      <c r="N447" t="s">
        <v>876</v>
      </c>
      <c r="O447" t="s">
        <v>876</v>
      </c>
      <c r="P447" t="s">
        <v>876</v>
      </c>
    </row>
    <row r="448" spans="1:16" x14ac:dyDescent="0.2">
      <c r="A448" s="60" t="s">
        <v>2901</v>
      </c>
      <c r="B448" t="s">
        <v>2902</v>
      </c>
      <c r="C448" t="s">
        <v>2903</v>
      </c>
      <c r="D448" t="s">
        <v>1327</v>
      </c>
      <c r="F448">
        <v>301086</v>
      </c>
      <c r="J448">
        <v>1</v>
      </c>
      <c r="L448" t="s">
        <v>876</v>
      </c>
      <c r="M448" t="s">
        <v>876</v>
      </c>
      <c r="N448" t="s">
        <v>876</v>
      </c>
      <c r="O448" t="s">
        <v>876</v>
      </c>
      <c r="P448" t="s">
        <v>876</v>
      </c>
    </row>
    <row r="449" spans="1:25" x14ac:dyDescent="0.2">
      <c r="A449" s="60" t="s">
        <v>2904</v>
      </c>
      <c r="B449" t="s">
        <v>2905</v>
      </c>
      <c r="C449" t="s">
        <v>2906</v>
      </c>
      <c r="D449" t="s">
        <v>1327</v>
      </c>
      <c r="F449">
        <v>301087</v>
      </c>
      <c r="J449">
        <v>1</v>
      </c>
      <c r="L449" t="s">
        <v>876</v>
      </c>
      <c r="M449" t="s">
        <v>876</v>
      </c>
      <c r="N449" t="s">
        <v>876</v>
      </c>
      <c r="O449" t="s">
        <v>876</v>
      </c>
      <c r="P449" t="s">
        <v>876</v>
      </c>
    </row>
    <row r="450" spans="1:25" x14ac:dyDescent="0.2">
      <c r="A450" s="60" t="s">
        <v>2907</v>
      </c>
      <c r="B450" t="s">
        <v>2908</v>
      </c>
      <c r="C450" t="s">
        <v>2909</v>
      </c>
      <c r="D450" t="s">
        <v>1327</v>
      </c>
      <c r="F450">
        <v>301088</v>
      </c>
      <c r="J450">
        <v>1</v>
      </c>
      <c r="L450" t="s">
        <v>876</v>
      </c>
      <c r="M450" t="s">
        <v>876</v>
      </c>
      <c r="N450" t="s">
        <v>876</v>
      </c>
      <c r="O450" t="s">
        <v>876</v>
      </c>
      <c r="P450" t="s">
        <v>876</v>
      </c>
    </row>
    <row r="451" spans="1:25" x14ac:dyDescent="0.2">
      <c r="A451" s="60" t="s">
        <v>2910</v>
      </c>
      <c r="B451" t="s">
        <v>2911</v>
      </c>
      <c r="C451" t="s">
        <v>2912</v>
      </c>
      <c r="D451" t="s">
        <v>1327</v>
      </c>
      <c r="F451">
        <v>301089</v>
      </c>
      <c r="J451">
        <v>1</v>
      </c>
      <c r="L451" t="s">
        <v>876</v>
      </c>
      <c r="M451" t="s">
        <v>876</v>
      </c>
      <c r="N451" t="s">
        <v>876</v>
      </c>
      <c r="O451" t="s">
        <v>876</v>
      </c>
      <c r="P451" t="s">
        <v>876</v>
      </c>
    </row>
    <row r="452" spans="1:25" x14ac:dyDescent="0.2">
      <c r="A452" s="60" t="s">
        <v>2913</v>
      </c>
      <c r="B452" t="s">
        <v>2914</v>
      </c>
      <c r="C452" t="s">
        <v>2915</v>
      </c>
      <c r="D452" t="s">
        <v>1327</v>
      </c>
      <c r="F452">
        <v>301090</v>
      </c>
      <c r="J452">
        <v>1</v>
      </c>
      <c r="L452" t="s">
        <v>876</v>
      </c>
      <c r="M452" t="s">
        <v>876</v>
      </c>
      <c r="N452" t="s">
        <v>876</v>
      </c>
      <c r="O452" t="s">
        <v>876</v>
      </c>
      <c r="P452" t="s">
        <v>876</v>
      </c>
    </row>
    <row r="453" spans="1:25" x14ac:dyDescent="0.2">
      <c r="A453" s="60" t="s">
        <v>2916</v>
      </c>
      <c r="B453" t="s">
        <v>2917</v>
      </c>
      <c r="C453" t="s">
        <v>2918</v>
      </c>
      <c r="D453" t="s">
        <v>1327</v>
      </c>
      <c r="F453">
        <v>301091</v>
      </c>
      <c r="J453">
        <v>1</v>
      </c>
      <c r="L453" t="s">
        <v>876</v>
      </c>
      <c r="M453" t="s">
        <v>876</v>
      </c>
      <c r="N453" t="s">
        <v>876</v>
      </c>
      <c r="O453" t="s">
        <v>876</v>
      </c>
      <c r="P453" t="s">
        <v>876</v>
      </c>
    </row>
    <row r="454" spans="1:25" x14ac:dyDescent="0.2">
      <c r="A454" s="60" t="s">
        <v>2919</v>
      </c>
      <c r="B454" t="s">
        <v>2920</v>
      </c>
      <c r="C454" t="s">
        <v>2921</v>
      </c>
      <c r="D454" t="s">
        <v>1327</v>
      </c>
      <c r="F454">
        <v>301092</v>
      </c>
      <c r="J454">
        <v>1</v>
      </c>
      <c r="L454" t="s">
        <v>876</v>
      </c>
      <c r="M454" t="s">
        <v>876</v>
      </c>
      <c r="N454" t="s">
        <v>876</v>
      </c>
      <c r="O454" t="s">
        <v>876</v>
      </c>
      <c r="P454" t="s">
        <v>876</v>
      </c>
    </row>
    <row r="455" spans="1:25" x14ac:dyDescent="0.2">
      <c r="A455" s="60" t="s">
        <v>2922</v>
      </c>
      <c r="B455" t="s">
        <v>2923</v>
      </c>
      <c r="C455" t="s">
        <v>2924</v>
      </c>
      <c r="D455" t="s">
        <v>664</v>
      </c>
      <c r="F455">
        <v>301093</v>
      </c>
      <c r="J455">
        <v>1</v>
      </c>
      <c r="L455" t="s">
        <v>876</v>
      </c>
      <c r="M455" t="s">
        <v>876</v>
      </c>
      <c r="N455" t="s">
        <v>876</v>
      </c>
      <c r="O455" t="s">
        <v>876</v>
      </c>
      <c r="P455" t="s">
        <v>876</v>
      </c>
    </row>
    <row r="456" spans="1:25" x14ac:dyDescent="0.2">
      <c r="A456" s="60" t="s">
        <v>2925</v>
      </c>
      <c r="B456" t="s">
        <v>2926</v>
      </c>
      <c r="C456" t="s">
        <v>2927</v>
      </c>
      <c r="D456" t="s">
        <v>1375</v>
      </c>
      <c r="F456">
        <v>301094</v>
      </c>
      <c r="J456">
        <v>1</v>
      </c>
      <c r="L456" t="s">
        <v>876</v>
      </c>
      <c r="M456" t="s">
        <v>876</v>
      </c>
      <c r="N456" t="s">
        <v>876</v>
      </c>
      <c r="O456" t="s">
        <v>876</v>
      </c>
      <c r="P456" t="s">
        <v>876</v>
      </c>
    </row>
    <row r="457" spans="1:25" x14ac:dyDescent="0.2">
      <c r="A457" s="60" t="s">
        <v>2928</v>
      </c>
      <c r="B457" t="s">
        <v>2929</v>
      </c>
      <c r="C457" t="s">
        <v>2930</v>
      </c>
      <c r="D457" t="s">
        <v>1351</v>
      </c>
      <c r="F457">
        <v>301095</v>
      </c>
      <c r="J457">
        <v>1</v>
      </c>
      <c r="L457" t="s">
        <v>876</v>
      </c>
      <c r="M457" t="s">
        <v>876</v>
      </c>
      <c r="N457" t="s">
        <v>876</v>
      </c>
      <c r="O457" t="s">
        <v>876</v>
      </c>
      <c r="P457" t="s">
        <v>876</v>
      </c>
    </row>
    <row r="458" spans="1:25" x14ac:dyDescent="0.2">
      <c r="A458" s="60" t="s">
        <v>2931</v>
      </c>
      <c r="B458" t="s">
        <v>2932</v>
      </c>
      <c r="C458" t="s">
        <v>2933</v>
      </c>
      <c r="D458" t="s">
        <v>1394</v>
      </c>
      <c r="F458">
        <v>301096</v>
      </c>
      <c r="J458">
        <v>1</v>
      </c>
      <c r="L458" t="s">
        <v>2934</v>
      </c>
      <c r="M458" t="s">
        <v>2432</v>
      </c>
      <c r="N458" t="s">
        <v>876</v>
      </c>
      <c r="O458" t="s">
        <v>1032</v>
      </c>
      <c r="P458" t="s">
        <v>1033</v>
      </c>
      <c r="S458">
        <v>1</v>
      </c>
      <c r="T458" t="s">
        <v>0</v>
      </c>
      <c r="U458" t="s">
        <v>0</v>
      </c>
      <c r="V458" t="s">
        <v>0</v>
      </c>
      <c r="W458" t="s">
        <v>0</v>
      </c>
      <c r="X458">
        <v>0.24999999203626319</v>
      </c>
      <c r="Y458">
        <v>0.29687499307137122</v>
      </c>
    </row>
    <row r="459" spans="1:25" x14ac:dyDescent="0.2">
      <c r="A459" s="60" t="s">
        <v>2935</v>
      </c>
      <c r="B459" t="s">
        <v>2936</v>
      </c>
      <c r="C459" t="s">
        <v>2937</v>
      </c>
      <c r="D459" t="s">
        <v>1517</v>
      </c>
      <c r="F459">
        <v>301097</v>
      </c>
      <c r="J459">
        <v>1</v>
      </c>
      <c r="L459" t="s">
        <v>876</v>
      </c>
      <c r="M459" t="s">
        <v>876</v>
      </c>
      <c r="N459" t="s">
        <v>876</v>
      </c>
      <c r="O459" t="s">
        <v>876</v>
      </c>
      <c r="P459" t="s">
        <v>876</v>
      </c>
    </row>
    <row r="460" spans="1:25" x14ac:dyDescent="0.2">
      <c r="A460" s="60" t="s">
        <v>2938</v>
      </c>
      <c r="B460" t="s">
        <v>2939</v>
      </c>
      <c r="C460" t="s">
        <v>2940</v>
      </c>
      <c r="D460" t="s">
        <v>1351</v>
      </c>
      <c r="F460">
        <v>301098</v>
      </c>
      <c r="J460">
        <v>1</v>
      </c>
      <c r="L460" t="s">
        <v>876</v>
      </c>
      <c r="M460" t="s">
        <v>876</v>
      </c>
      <c r="N460" t="s">
        <v>876</v>
      </c>
      <c r="O460" t="s">
        <v>876</v>
      </c>
      <c r="P460" t="s">
        <v>876</v>
      </c>
    </row>
    <row r="461" spans="1:25" x14ac:dyDescent="0.2">
      <c r="A461" s="60" t="s">
        <v>2941</v>
      </c>
      <c r="B461" t="s">
        <v>2942</v>
      </c>
      <c r="C461" t="s">
        <v>2943</v>
      </c>
      <c r="D461" t="s">
        <v>1375</v>
      </c>
      <c r="F461">
        <v>301099</v>
      </c>
      <c r="J461">
        <v>1</v>
      </c>
      <c r="L461" t="s">
        <v>876</v>
      </c>
      <c r="M461" t="s">
        <v>876</v>
      </c>
      <c r="N461" t="s">
        <v>876</v>
      </c>
      <c r="O461" t="s">
        <v>876</v>
      </c>
      <c r="P461" t="s">
        <v>876</v>
      </c>
    </row>
    <row r="462" spans="1:25" x14ac:dyDescent="0.2">
      <c r="A462" s="60" t="s">
        <v>2944</v>
      </c>
      <c r="B462" t="s">
        <v>2945</v>
      </c>
      <c r="C462" t="s">
        <v>2946</v>
      </c>
      <c r="D462" t="s">
        <v>1517</v>
      </c>
      <c r="F462">
        <v>301100</v>
      </c>
      <c r="J462">
        <v>1</v>
      </c>
      <c r="L462" t="s">
        <v>876</v>
      </c>
      <c r="M462" t="s">
        <v>876</v>
      </c>
      <c r="N462" t="s">
        <v>876</v>
      </c>
      <c r="O462" t="s">
        <v>876</v>
      </c>
      <c r="P462" t="s">
        <v>876</v>
      </c>
    </row>
    <row r="463" spans="1:25" x14ac:dyDescent="0.2">
      <c r="A463" s="60" t="s">
        <v>2947</v>
      </c>
      <c r="B463" t="s">
        <v>2948</v>
      </c>
      <c r="C463" t="s">
        <v>2949</v>
      </c>
      <c r="D463" t="s">
        <v>1408</v>
      </c>
      <c r="F463">
        <v>301101</v>
      </c>
      <c r="J463">
        <v>1</v>
      </c>
      <c r="L463" t="s">
        <v>876</v>
      </c>
      <c r="M463" t="s">
        <v>876</v>
      </c>
      <c r="N463" t="s">
        <v>876</v>
      </c>
      <c r="O463" t="s">
        <v>876</v>
      </c>
      <c r="P463" t="s">
        <v>876</v>
      </c>
    </row>
    <row r="464" spans="1:25" x14ac:dyDescent="0.2">
      <c r="A464" s="60" t="s">
        <v>2950</v>
      </c>
      <c r="B464" t="s">
        <v>2951</v>
      </c>
      <c r="C464" t="s">
        <v>2952</v>
      </c>
      <c r="D464" t="s">
        <v>1307</v>
      </c>
      <c r="F464">
        <v>301102</v>
      </c>
      <c r="J464">
        <v>1</v>
      </c>
      <c r="L464" t="s">
        <v>2953</v>
      </c>
      <c r="M464" t="s">
        <v>2954</v>
      </c>
      <c r="N464" t="s">
        <v>876</v>
      </c>
      <c r="O464" t="s">
        <v>667</v>
      </c>
      <c r="P464" t="s">
        <v>1522</v>
      </c>
      <c r="T464" t="s">
        <v>0</v>
      </c>
      <c r="U464">
        <v>942.29370319999998</v>
      </c>
      <c r="V464" t="s">
        <v>0</v>
      </c>
      <c r="W464">
        <v>10000</v>
      </c>
      <c r="X464">
        <v>0.11249987975795293</v>
      </c>
      <c r="Y464">
        <v>0.16145833828300538</v>
      </c>
    </row>
    <row r="465" spans="1:25" x14ac:dyDescent="0.2">
      <c r="A465" s="60" t="s">
        <v>2955</v>
      </c>
      <c r="B465" t="s">
        <v>2956</v>
      </c>
      <c r="C465" t="s">
        <v>2957</v>
      </c>
      <c r="D465" t="s">
        <v>2958</v>
      </c>
      <c r="F465">
        <v>301103</v>
      </c>
      <c r="J465">
        <v>1</v>
      </c>
      <c r="L465" t="s">
        <v>876</v>
      </c>
      <c r="M465" t="s">
        <v>876</v>
      </c>
      <c r="N465" t="s">
        <v>876</v>
      </c>
      <c r="O465" t="s">
        <v>876</v>
      </c>
      <c r="P465" t="s">
        <v>876</v>
      </c>
    </row>
    <row r="466" spans="1:25" x14ac:dyDescent="0.2">
      <c r="A466" s="60" t="s">
        <v>2959</v>
      </c>
      <c r="B466" t="s">
        <v>2960</v>
      </c>
      <c r="C466" t="s">
        <v>2961</v>
      </c>
      <c r="D466" t="s">
        <v>2962</v>
      </c>
      <c r="F466">
        <v>301104</v>
      </c>
      <c r="J466">
        <v>1</v>
      </c>
      <c r="L466" t="s">
        <v>876</v>
      </c>
      <c r="M466" t="s">
        <v>876</v>
      </c>
      <c r="N466" t="s">
        <v>876</v>
      </c>
      <c r="O466" t="s">
        <v>876</v>
      </c>
      <c r="P466" t="s">
        <v>876</v>
      </c>
    </row>
    <row r="467" spans="1:25" x14ac:dyDescent="0.2">
      <c r="A467" s="60" t="s">
        <v>2963</v>
      </c>
      <c r="B467" t="s">
        <v>2964</v>
      </c>
      <c r="C467" t="s">
        <v>2965</v>
      </c>
      <c r="D467" t="s">
        <v>866</v>
      </c>
      <c r="F467">
        <v>301105</v>
      </c>
      <c r="J467">
        <v>1</v>
      </c>
      <c r="L467" t="s">
        <v>876</v>
      </c>
      <c r="M467" t="s">
        <v>876</v>
      </c>
      <c r="N467" t="s">
        <v>876</v>
      </c>
      <c r="O467" t="s">
        <v>876</v>
      </c>
      <c r="P467" t="s">
        <v>876</v>
      </c>
    </row>
    <row r="468" spans="1:25" x14ac:dyDescent="0.2">
      <c r="A468" s="60" t="s">
        <v>2966</v>
      </c>
      <c r="B468" t="s">
        <v>2967</v>
      </c>
      <c r="C468" t="s">
        <v>2968</v>
      </c>
      <c r="D468" t="s">
        <v>2969</v>
      </c>
      <c r="F468">
        <v>301106</v>
      </c>
      <c r="J468">
        <v>1</v>
      </c>
      <c r="L468" t="s">
        <v>876</v>
      </c>
      <c r="M468" t="s">
        <v>876</v>
      </c>
      <c r="N468" t="s">
        <v>876</v>
      </c>
      <c r="O468" t="s">
        <v>876</v>
      </c>
      <c r="P468" t="s">
        <v>876</v>
      </c>
    </row>
    <row r="469" spans="1:25" x14ac:dyDescent="0.2">
      <c r="A469" s="60" t="s">
        <v>2970</v>
      </c>
      <c r="B469" t="s">
        <v>2971</v>
      </c>
      <c r="C469" t="s">
        <v>2972</v>
      </c>
      <c r="D469" t="s">
        <v>2973</v>
      </c>
      <c r="F469">
        <v>301107</v>
      </c>
      <c r="J469">
        <v>1</v>
      </c>
      <c r="L469" t="s">
        <v>876</v>
      </c>
      <c r="M469" t="s">
        <v>876</v>
      </c>
      <c r="N469" t="s">
        <v>876</v>
      </c>
      <c r="O469" t="s">
        <v>876</v>
      </c>
      <c r="P469" t="s">
        <v>876</v>
      </c>
    </row>
    <row r="470" spans="1:25" x14ac:dyDescent="0.2">
      <c r="A470" s="60" t="s">
        <v>2974</v>
      </c>
      <c r="B470" t="s">
        <v>2975</v>
      </c>
      <c r="C470" t="s">
        <v>2976</v>
      </c>
      <c r="D470" t="s">
        <v>1388</v>
      </c>
      <c r="F470">
        <v>301108</v>
      </c>
      <c r="J470">
        <v>1</v>
      </c>
      <c r="L470" t="s">
        <v>876</v>
      </c>
      <c r="M470" t="s">
        <v>2678</v>
      </c>
      <c r="N470" t="s">
        <v>876</v>
      </c>
      <c r="O470" t="s">
        <v>876</v>
      </c>
      <c r="P470" t="s">
        <v>876</v>
      </c>
      <c r="T470">
        <v>23.727929799999998</v>
      </c>
      <c r="U470">
        <v>9.8081882900000004</v>
      </c>
      <c r="V470">
        <v>32.871083630984465</v>
      </c>
      <c r="W470">
        <v>18.004260257808372</v>
      </c>
      <c r="X470">
        <v>0.41141788206943825</v>
      </c>
      <c r="Y470">
        <v>0.68655779339049572</v>
      </c>
    </row>
    <row r="471" spans="1:25" x14ac:dyDescent="0.2">
      <c r="A471" s="60" t="s">
        <v>2977</v>
      </c>
      <c r="B471" t="s">
        <v>2978</v>
      </c>
      <c r="C471" t="s">
        <v>2979</v>
      </c>
      <c r="D471" t="s">
        <v>1297</v>
      </c>
      <c r="F471">
        <v>301109</v>
      </c>
      <c r="J471">
        <v>1</v>
      </c>
      <c r="L471" t="s">
        <v>2980</v>
      </c>
      <c r="M471" t="s">
        <v>2981</v>
      </c>
      <c r="N471" t="s">
        <v>876</v>
      </c>
      <c r="O471" t="s">
        <v>1032</v>
      </c>
      <c r="P471" t="s">
        <v>1033</v>
      </c>
      <c r="T471" t="s">
        <v>0</v>
      </c>
      <c r="U471">
        <v>10000</v>
      </c>
      <c r="V471" t="s">
        <v>0</v>
      </c>
      <c r="W471">
        <v>10000</v>
      </c>
      <c r="X471">
        <v>0.29999999216214945</v>
      </c>
      <c r="Y471">
        <v>0.41509436717743542</v>
      </c>
    </row>
    <row r="472" spans="1:25" x14ac:dyDescent="0.2">
      <c r="A472" s="60" t="s">
        <v>2982</v>
      </c>
      <c r="B472" t="s">
        <v>2983</v>
      </c>
      <c r="C472" t="s">
        <v>2984</v>
      </c>
      <c r="D472" t="s">
        <v>1375</v>
      </c>
      <c r="F472">
        <v>301110</v>
      </c>
      <c r="J472">
        <v>1</v>
      </c>
      <c r="L472" t="s">
        <v>876</v>
      </c>
      <c r="M472" t="s">
        <v>876</v>
      </c>
      <c r="N472" t="s">
        <v>876</v>
      </c>
      <c r="O472" t="s">
        <v>876</v>
      </c>
      <c r="P472" t="s">
        <v>876</v>
      </c>
    </row>
    <row r="473" spans="1:25" x14ac:dyDescent="0.2">
      <c r="A473" s="60" t="s">
        <v>2985</v>
      </c>
      <c r="B473" t="s">
        <v>2986</v>
      </c>
      <c r="C473" t="s">
        <v>2987</v>
      </c>
      <c r="D473" t="s">
        <v>1318</v>
      </c>
      <c r="F473">
        <v>301111</v>
      </c>
      <c r="J473">
        <v>1</v>
      </c>
      <c r="L473" t="s">
        <v>2988</v>
      </c>
      <c r="M473" t="s">
        <v>2989</v>
      </c>
      <c r="N473" t="s">
        <v>876</v>
      </c>
      <c r="O473" t="s">
        <v>1032</v>
      </c>
      <c r="P473" t="s">
        <v>1033</v>
      </c>
      <c r="T473">
        <v>870.05957980000005</v>
      </c>
      <c r="U473">
        <v>71.569705409999997</v>
      </c>
      <c r="V473">
        <v>10000</v>
      </c>
      <c r="W473">
        <v>79.85399209934458</v>
      </c>
      <c r="X473">
        <v>9.8958335312508805E-2</v>
      </c>
      <c r="Y473">
        <v>0.1192241935066479</v>
      </c>
    </row>
    <row r="474" spans="1:25" x14ac:dyDescent="0.2">
      <c r="A474" s="60" t="s">
        <v>2990</v>
      </c>
      <c r="B474" t="s">
        <v>2991</v>
      </c>
      <c r="C474" t="s">
        <v>2992</v>
      </c>
      <c r="D474" t="s">
        <v>1375</v>
      </c>
      <c r="F474">
        <v>301112</v>
      </c>
      <c r="J474">
        <v>1</v>
      </c>
      <c r="L474" t="s">
        <v>876</v>
      </c>
      <c r="M474" t="s">
        <v>876</v>
      </c>
      <c r="N474" t="s">
        <v>876</v>
      </c>
      <c r="O474" t="s">
        <v>876</v>
      </c>
      <c r="P474" t="s">
        <v>876</v>
      </c>
    </row>
    <row r="475" spans="1:25" x14ac:dyDescent="0.2">
      <c r="A475" s="60" t="s">
        <v>2993</v>
      </c>
      <c r="B475" t="s">
        <v>2994</v>
      </c>
      <c r="C475" t="s">
        <v>2995</v>
      </c>
      <c r="D475" t="s">
        <v>1297</v>
      </c>
      <c r="F475">
        <v>301113</v>
      </c>
      <c r="J475">
        <v>1</v>
      </c>
      <c r="L475" t="s">
        <v>2996</v>
      </c>
      <c r="M475" t="s">
        <v>2997</v>
      </c>
      <c r="N475" t="s">
        <v>876</v>
      </c>
      <c r="O475" t="s">
        <v>1032</v>
      </c>
      <c r="P475" t="s">
        <v>1033</v>
      </c>
      <c r="T475">
        <v>10000</v>
      </c>
      <c r="U475">
        <v>6.340648388</v>
      </c>
      <c r="V475">
        <v>10000</v>
      </c>
      <c r="W475">
        <v>7.2073895844081139</v>
      </c>
      <c r="X475">
        <v>0.33873681790352633</v>
      </c>
      <c r="Y475">
        <v>0.8889126593995873</v>
      </c>
    </row>
    <row r="476" spans="1:25" x14ac:dyDescent="0.2">
      <c r="A476" s="60" t="s">
        <v>2998</v>
      </c>
      <c r="B476" t="s">
        <v>2999</v>
      </c>
      <c r="C476" t="s">
        <v>3000</v>
      </c>
      <c r="D476" t="s">
        <v>3001</v>
      </c>
      <c r="F476">
        <v>301114</v>
      </c>
      <c r="J476">
        <v>1</v>
      </c>
      <c r="L476" t="s">
        <v>876</v>
      </c>
      <c r="M476" t="s">
        <v>876</v>
      </c>
      <c r="N476" t="s">
        <v>876</v>
      </c>
      <c r="O476" t="s">
        <v>876</v>
      </c>
      <c r="P476" t="s">
        <v>876</v>
      </c>
    </row>
    <row r="477" spans="1:25" x14ac:dyDescent="0.2">
      <c r="A477" s="60" t="s">
        <v>3002</v>
      </c>
      <c r="B477" t="s">
        <v>3003</v>
      </c>
      <c r="C477" t="s">
        <v>3004</v>
      </c>
      <c r="D477" t="s">
        <v>1375</v>
      </c>
      <c r="F477">
        <v>301115</v>
      </c>
      <c r="J477">
        <v>1</v>
      </c>
      <c r="L477" t="s">
        <v>876</v>
      </c>
      <c r="M477" t="s">
        <v>876</v>
      </c>
      <c r="N477" t="s">
        <v>876</v>
      </c>
      <c r="O477" t="s">
        <v>876</v>
      </c>
      <c r="P477" t="s">
        <v>876</v>
      </c>
    </row>
    <row r="478" spans="1:25" x14ac:dyDescent="0.2">
      <c r="A478" s="60" t="s">
        <v>3005</v>
      </c>
      <c r="B478" t="s">
        <v>3006</v>
      </c>
      <c r="C478" t="s">
        <v>3007</v>
      </c>
      <c r="D478" t="s">
        <v>1318</v>
      </c>
      <c r="F478">
        <v>301116</v>
      </c>
      <c r="J478">
        <v>1</v>
      </c>
      <c r="L478" t="s">
        <v>3008</v>
      </c>
      <c r="M478" t="s">
        <v>2622</v>
      </c>
      <c r="N478" t="s">
        <v>876</v>
      </c>
      <c r="O478" t="s">
        <v>1032</v>
      </c>
      <c r="P478" t="s">
        <v>1033</v>
      </c>
      <c r="T478">
        <v>20.96847567</v>
      </c>
      <c r="U478">
        <v>48.444182980000001</v>
      </c>
      <c r="V478">
        <v>113.11846049339391</v>
      </c>
      <c r="W478">
        <v>70.559309729943081</v>
      </c>
      <c r="X478">
        <v>0.36797983272227258</v>
      </c>
      <c r="Y478">
        <v>0.3056221290252753</v>
      </c>
    </row>
    <row r="479" spans="1:25" x14ac:dyDescent="0.2">
      <c r="A479" s="60" t="s">
        <v>3009</v>
      </c>
      <c r="B479" t="s">
        <v>3010</v>
      </c>
      <c r="C479" t="s">
        <v>3011</v>
      </c>
      <c r="D479" t="s">
        <v>3012</v>
      </c>
      <c r="F479">
        <v>301117</v>
      </c>
      <c r="J479">
        <v>1</v>
      </c>
      <c r="L479" t="s">
        <v>876</v>
      </c>
      <c r="M479" t="s">
        <v>876</v>
      </c>
      <c r="N479" t="s">
        <v>876</v>
      </c>
      <c r="O479" t="s">
        <v>876</v>
      </c>
      <c r="P479" t="s">
        <v>876</v>
      </c>
    </row>
    <row r="480" spans="1:25" x14ac:dyDescent="0.2">
      <c r="A480" s="60" t="s">
        <v>3013</v>
      </c>
      <c r="B480" t="s">
        <v>3014</v>
      </c>
      <c r="C480" t="s">
        <v>3015</v>
      </c>
      <c r="D480" t="s">
        <v>2969</v>
      </c>
      <c r="F480">
        <v>301118</v>
      </c>
      <c r="J480">
        <v>1</v>
      </c>
      <c r="L480" t="s">
        <v>876</v>
      </c>
      <c r="M480" t="s">
        <v>876</v>
      </c>
      <c r="N480" t="s">
        <v>876</v>
      </c>
      <c r="O480" t="s">
        <v>876</v>
      </c>
      <c r="P480" t="s">
        <v>876</v>
      </c>
    </row>
    <row r="481" spans="1:25" x14ac:dyDescent="0.2">
      <c r="A481" s="60" t="s">
        <v>3016</v>
      </c>
      <c r="B481" t="s">
        <v>3017</v>
      </c>
      <c r="C481" t="s">
        <v>3018</v>
      </c>
      <c r="D481" t="s">
        <v>1375</v>
      </c>
      <c r="F481">
        <v>301119</v>
      </c>
      <c r="J481">
        <v>1</v>
      </c>
      <c r="L481" t="s">
        <v>876</v>
      </c>
      <c r="M481" t="s">
        <v>876</v>
      </c>
      <c r="N481" t="s">
        <v>876</v>
      </c>
      <c r="O481" t="s">
        <v>876</v>
      </c>
      <c r="P481" t="s">
        <v>876</v>
      </c>
    </row>
    <row r="482" spans="1:25" x14ac:dyDescent="0.2">
      <c r="A482" s="60" t="s">
        <v>3019</v>
      </c>
      <c r="B482" t="s">
        <v>3020</v>
      </c>
      <c r="C482" t="s">
        <v>3021</v>
      </c>
      <c r="D482" t="s">
        <v>1375</v>
      </c>
      <c r="F482">
        <v>301120</v>
      </c>
      <c r="J482">
        <v>1</v>
      </c>
      <c r="L482" t="s">
        <v>876</v>
      </c>
      <c r="M482" t="s">
        <v>876</v>
      </c>
      <c r="N482" t="s">
        <v>876</v>
      </c>
      <c r="O482" t="s">
        <v>876</v>
      </c>
      <c r="P482" t="s">
        <v>876</v>
      </c>
    </row>
    <row r="483" spans="1:25" x14ac:dyDescent="0.2">
      <c r="A483" s="60" t="s">
        <v>3022</v>
      </c>
      <c r="B483" t="s">
        <v>3023</v>
      </c>
      <c r="C483" t="s">
        <v>3024</v>
      </c>
      <c r="D483" t="s">
        <v>1375</v>
      </c>
      <c r="F483">
        <v>301121</v>
      </c>
      <c r="J483">
        <v>1</v>
      </c>
      <c r="L483" t="s">
        <v>876</v>
      </c>
      <c r="M483" t="s">
        <v>876</v>
      </c>
      <c r="N483" t="s">
        <v>876</v>
      </c>
      <c r="O483" t="s">
        <v>876</v>
      </c>
      <c r="P483" t="s">
        <v>876</v>
      </c>
    </row>
    <row r="484" spans="1:25" x14ac:dyDescent="0.2">
      <c r="A484" s="60" t="s">
        <v>3025</v>
      </c>
      <c r="B484" t="s">
        <v>3026</v>
      </c>
      <c r="C484" t="s">
        <v>3027</v>
      </c>
      <c r="D484" t="s">
        <v>1514</v>
      </c>
      <c r="F484">
        <v>301122</v>
      </c>
      <c r="J484">
        <v>1</v>
      </c>
      <c r="L484" t="s">
        <v>876</v>
      </c>
      <c r="M484" t="s">
        <v>876</v>
      </c>
      <c r="N484" t="s">
        <v>876</v>
      </c>
      <c r="O484" t="s">
        <v>876</v>
      </c>
      <c r="P484" t="s">
        <v>876</v>
      </c>
    </row>
    <row r="485" spans="1:25" x14ac:dyDescent="0.2">
      <c r="A485" s="60" t="s">
        <v>1443</v>
      </c>
      <c r="B485" t="s">
        <v>3028</v>
      </c>
      <c r="C485" t="s">
        <v>3029</v>
      </c>
      <c r="D485" t="s">
        <v>3030</v>
      </c>
      <c r="F485">
        <v>301123</v>
      </c>
      <c r="J485">
        <v>1</v>
      </c>
      <c r="L485" t="s">
        <v>876</v>
      </c>
      <c r="M485" t="s">
        <v>876</v>
      </c>
      <c r="N485" t="s">
        <v>876</v>
      </c>
      <c r="O485" t="s">
        <v>876</v>
      </c>
      <c r="P485" t="s">
        <v>876</v>
      </c>
    </row>
    <row r="486" spans="1:25" x14ac:dyDescent="0.2">
      <c r="A486" s="60" t="s">
        <v>3031</v>
      </c>
      <c r="B486" t="s">
        <v>3032</v>
      </c>
      <c r="C486" t="s">
        <v>3033</v>
      </c>
      <c r="D486" t="s">
        <v>1514</v>
      </c>
      <c r="F486">
        <v>301124</v>
      </c>
      <c r="J486">
        <v>1</v>
      </c>
      <c r="L486" t="s">
        <v>876</v>
      </c>
      <c r="M486" t="s">
        <v>876</v>
      </c>
      <c r="N486" t="s">
        <v>876</v>
      </c>
      <c r="O486" t="s">
        <v>876</v>
      </c>
      <c r="P486" t="s">
        <v>876</v>
      </c>
    </row>
    <row r="487" spans="1:25" x14ac:dyDescent="0.2">
      <c r="A487" s="60" t="s">
        <v>3034</v>
      </c>
      <c r="B487" t="s">
        <v>3035</v>
      </c>
      <c r="C487" t="s">
        <v>3036</v>
      </c>
      <c r="D487" t="s">
        <v>1318</v>
      </c>
      <c r="F487">
        <v>301125</v>
      </c>
      <c r="J487">
        <v>1</v>
      </c>
      <c r="L487" t="s">
        <v>3037</v>
      </c>
      <c r="M487" t="s">
        <v>3038</v>
      </c>
      <c r="N487" t="s">
        <v>876</v>
      </c>
      <c r="O487" t="s">
        <v>1032</v>
      </c>
      <c r="P487" t="s">
        <v>1033</v>
      </c>
      <c r="Q487">
        <v>1</v>
      </c>
      <c r="T487" t="s">
        <v>0</v>
      </c>
      <c r="U487" t="s">
        <v>0</v>
      </c>
      <c r="V487" t="s">
        <v>0</v>
      </c>
      <c r="W487" t="s">
        <v>0</v>
      </c>
      <c r="X487">
        <v>0.27337942991745828</v>
      </c>
      <c r="Y487">
        <v>0.31600584524947939</v>
      </c>
    </row>
    <row r="488" spans="1:25" x14ac:dyDescent="0.2">
      <c r="A488" s="60" t="s">
        <v>3039</v>
      </c>
      <c r="B488" t="s">
        <v>3040</v>
      </c>
      <c r="C488" t="s">
        <v>3041</v>
      </c>
      <c r="D488" t="s">
        <v>3030</v>
      </c>
      <c r="F488">
        <v>301126</v>
      </c>
      <c r="J488">
        <v>1</v>
      </c>
      <c r="L488" t="s">
        <v>876</v>
      </c>
      <c r="M488" t="s">
        <v>876</v>
      </c>
      <c r="N488" t="s">
        <v>876</v>
      </c>
      <c r="O488" t="s">
        <v>876</v>
      </c>
      <c r="P488" t="s">
        <v>876</v>
      </c>
    </row>
    <row r="489" spans="1:25" x14ac:dyDescent="0.2">
      <c r="A489" s="60" t="s">
        <v>3042</v>
      </c>
      <c r="B489" t="s">
        <v>3043</v>
      </c>
      <c r="C489" t="s">
        <v>3044</v>
      </c>
      <c r="D489" t="s">
        <v>1514</v>
      </c>
      <c r="F489">
        <v>301127</v>
      </c>
      <c r="J489">
        <v>1</v>
      </c>
      <c r="L489" t="s">
        <v>876</v>
      </c>
      <c r="M489" t="s">
        <v>876</v>
      </c>
      <c r="N489" t="s">
        <v>876</v>
      </c>
      <c r="O489" t="s">
        <v>876</v>
      </c>
      <c r="P489" t="s">
        <v>876</v>
      </c>
    </row>
    <row r="490" spans="1:25" x14ac:dyDescent="0.2">
      <c r="A490" s="60" t="s">
        <v>3045</v>
      </c>
      <c r="B490" t="s">
        <v>3046</v>
      </c>
      <c r="C490" t="s">
        <v>3047</v>
      </c>
      <c r="D490" t="s">
        <v>1375</v>
      </c>
      <c r="F490">
        <v>301128</v>
      </c>
      <c r="J490">
        <v>1</v>
      </c>
      <c r="L490" t="s">
        <v>876</v>
      </c>
      <c r="M490" t="s">
        <v>876</v>
      </c>
      <c r="N490" t="s">
        <v>876</v>
      </c>
      <c r="O490" t="s">
        <v>876</v>
      </c>
      <c r="P490" t="s">
        <v>876</v>
      </c>
    </row>
    <row r="491" spans="1:25" x14ac:dyDescent="0.2">
      <c r="A491" s="60" t="s">
        <v>3048</v>
      </c>
      <c r="B491" t="s">
        <v>3049</v>
      </c>
      <c r="C491" t="s">
        <v>3050</v>
      </c>
      <c r="D491" t="s">
        <v>1517</v>
      </c>
      <c r="F491">
        <v>301129</v>
      </c>
      <c r="J491">
        <v>1</v>
      </c>
      <c r="L491" t="s">
        <v>876</v>
      </c>
      <c r="M491" t="s">
        <v>876</v>
      </c>
      <c r="N491" t="s">
        <v>876</v>
      </c>
      <c r="O491" t="s">
        <v>876</v>
      </c>
      <c r="P491" t="s">
        <v>876</v>
      </c>
    </row>
    <row r="492" spans="1:25" x14ac:dyDescent="0.2">
      <c r="A492" s="60" t="s">
        <v>3051</v>
      </c>
      <c r="B492" t="s">
        <v>3052</v>
      </c>
      <c r="C492" t="s">
        <v>3053</v>
      </c>
      <c r="D492" t="s">
        <v>1375</v>
      </c>
      <c r="F492">
        <v>301130</v>
      </c>
      <c r="J492">
        <v>1</v>
      </c>
      <c r="L492" t="s">
        <v>876</v>
      </c>
      <c r="M492" t="s">
        <v>876</v>
      </c>
      <c r="N492" t="s">
        <v>876</v>
      </c>
      <c r="O492" t="s">
        <v>876</v>
      </c>
      <c r="P492" t="s">
        <v>876</v>
      </c>
    </row>
    <row r="493" spans="1:25" x14ac:dyDescent="0.2">
      <c r="A493" s="60" t="s">
        <v>3054</v>
      </c>
      <c r="B493" t="s">
        <v>3055</v>
      </c>
      <c r="C493" t="s">
        <v>3056</v>
      </c>
      <c r="D493" t="s">
        <v>866</v>
      </c>
      <c r="F493">
        <v>301131</v>
      </c>
      <c r="J493">
        <v>1</v>
      </c>
      <c r="L493" t="s">
        <v>876</v>
      </c>
      <c r="M493" t="s">
        <v>876</v>
      </c>
      <c r="N493" t="s">
        <v>876</v>
      </c>
      <c r="O493" t="s">
        <v>876</v>
      </c>
      <c r="P493" t="s">
        <v>876</v>
      </c>
    </row>
    <row r="494" spans="1:25" x14ac:dyDescent="0.2">
      <c r="A494" s="60" t="s">
        <v>3057</v>
      </c>
      <c r="B494" t="s">
        <v>3058</v>
      </c>
      <c r="C494" t="s">
        <v>3059</v>
      </c>
      <c r="D494" t="s">
        <v>1514</v>
      </c>
      <c r="F494">
        <v>301132</v>
      </c>
      <c r="J494">
        <v>1</v>
      </c>
      <c r="L494" t="s">
        <v>876</v>
      </c>
      <c r="M494" t="s">
        <v>876</v>
      </c>
      <c r="N494" t="s">
        <v>876</v>
      </c>
      <c r="O494" t="s">
        <v>876</v>
      </c>
      <c r="P494" t="s">
        <v>876</v>
      </c>
    </row>
    <row r="495" spans="1:25" x14ac:dyDescent="0.2">
      <c r="A495" s="60" t="s">
        <v>3060</v>
      </c>
      <c r="B495" t="s">
        <v>3061</v>
      </c>
      <c r="C495" t="s">
        <v>3062</v>
      </c>
      <c r="D495" t="s">
        <v>1375</v>
      </c>
      <c r="F495">
        <v>301133</v>
      </c>
      <c r="J495">
        <v>1</v>
      </c>
      <c r="L495" t="s">
        <v>876</v>
      </c>
      <c r="M495" t="s">
        <v>876</v>
      </c>
      <c r="N495" t="s">
        <v>876</v>
      </c>
      <c r="O495" t="s">
        <v>876</v>
      </c>
      <c r="P495" t="s">
        <v>876</v>
      </c>
    </row>
    <row r="496" spans="1:25" x14ac:dyDescent="0.2">
      <c r="A496" s="60" t="s">
        <v>3063</v>
      </c>
      <c r="B496" t="s">
        <v>3064</v>
      </c>
      <c r="C496" t="s">
        <v>3065</v>
      </c>
      <c r="D496" t="s">
        <v>3066</v>
      </c>
      <c r="F496">
        <v>301134</v>
      </c>
      <c r="J496">
        <v>1</v>
      </c>
      <c r="K496">
        <v>1</v>
      </c>
      <c r="L496" t="s">
        <v>3067</v>
      </c>
      <c r="M496" t="s">
        <v>3068</v>
      </c>
      <c r="N496" t="s">
        <v>876</v>
      </c>
      <c r="O496" t="s">
        <v>1032</v>
      </c>
      <c r="P496" t="s">
        <v>1033</v>
      </c>
      <c r="T496">
        <v>52.059530180000003</v>
      </c>
      <c r="U496">
        <v>59.009227619999997</v>
      </c>
      <c r="V496">
        <v>76.072098667892647</v>
      </c>
      <c r="W496">
        <v>66.320310728477679</v>
      </c>
      <c r="X496">
        <v>0.29679160791473103</v>
      </c>
      <c r="Y496">
        <v>0.30774906254864071</v>
      </c>
    </row>
    <row r="497" spans="1:25" x14ac:dyDescent="0.2">
      <c r="A497" s="60" t="s">
        <v>3069</v>
      </c>
      <c r="B497" t="s">
        <v>3070</v>
      </c>
      <c r="C497" t="s">
        <v>3071</v>
      </c>
      <c r="D497" t="s">
        <v>1514</v>
      </c>
      <c r="F497">
        <v>301135</v>
      </c>
      <c r="J497">
        <v>1</v>
      </c>
      <c r="L497" t="s">
        <v>876</v>
      </c>
      <c r="M497" t="s">
        <v>876</v>
      </c>
      <c r="N497" t="s">
        <v>876</v>
      </c>
      <c r="O497" t="s">
        <v>876</v>
      </c>
      <c r="P497" t="s">
        <v>876</v>
      </c>
    </row>
    <row r="498" spans="1:25" x14ac:dyDescent="0.2">
      <c r="A498" s="60" t="s">
        <v>3072</v>
      </c>
      <c r="B498" t="s">
        <v>3073</v>
      </c>
      <c r="C498" t="s">
        <v>3074</v>
      </c>
      <c r="D498" t="s">
        <v>1514</v>
      </c>
      <c r="F498">
        <v>301136</v>
      </c>
      <c r="J498">
        <v>1</v>
      </c>
      <c r="L498" t="s">
        <v>876</v>
      </c>
      <c r="M498" t="s">
        <v>876</v>
      </c>
      <c r="N498" t="s">
        <v>876</v>
      </c>
      <c r="O498" t="s">
        <v>876</v>
      </c>
      <c r="P498" t="s">
        <v>876</v>
      </c>
    </row>
    <row r="499" spans="1:25" x14ac:dyDescent="0.2">
      <c r="A499" s="60" t="s">
        <v>3075</v>
      </c>
      <c r="B499" t="s">
        <v>3076</v>
      </c>
      <c r="C499" t="s">
        <v>3077</v>
      </c>
      <c r="D499" t="s">
        <v>1375</v>
      </c>
      <c r="F499">
        <v>301137</v>
      </c>
      <c r="J499">
        <v>1</v>
      </c>
      <c r="L499" t="s">
        <v>876</v>
      </c>
      <c r="M499" t="s">
        <v>876</v>
      </c>
      <c r="N499" t="s">
        <v>876</v>
      </c>
      <c r="O499" t="s">
        <v>876</v>
      </c>
      <c r="P499" t="s">
        <v>876</v>
      </c>
    </row>
    <row r="500" spans="1:25" x14ac:dyDescent="0.2">
      <c r="A500" s="60" t="s">
        <v>3078</v>
      </c>
      <c r="B500" t="s">
        <v>3079</v>
      </c>
      <c r="C500" t="s">
        <v>3080</v>
      </c>
      <c r="D500" t="s">
        <v>1375</v>
      </c>
      <c r="F500">
        <v>301138</v>
      </c>
      <c r="J500">
        <v>1</v>
      </c>
      <c r="L500" t="s">
        <v>876</v>
      </c>
      <c r="M500" t="s">
        <v>876</v>
      </c>
      <c r="N500" t="s">
        <v>876</v>
      </c>
      <c r="O500" t="s">
        <v>876</v>
      </c>
      <c r="P500" t="s">
        <v>876</v>
      </c>
    </row>
    <row r="501" spans="1:25" x14ac:dyDescent="0.2">
      <c r="A501" s="60" t="s">
        <v>3081</v>
      </c>
      <c r="B501" t="s">
        <v>3082</v>
      </c>
      <c r="C501" t="s">
        <v>3083</v>
      </c>
      <c r="D501" t="s">
        <v>1307</v>
      </c>
      <c r="F501">
        <v>301139</v>
      </c>
      <c r="J501">
        <v>1</v>
      </c>
      <c r="L501" t="s">
        <v>3084</v>
      </c>
      <c r="M501" t="s">
        <v>3085</v>
      </c>
      <c r="N501" t="s">
        <v>876</v>
      </c>
      <c r="O501" t="s">
        <v>1032</v>
      </c>
      <c r="P501" t="s">
        <v>1033</v>
      </c>
      <c r="T501">
        <v>10000</v>
      </c>
      <c r="U501">
        <v>10000</v>
      </c>
      <c r="V501">
        <v>10000</v>
      </c>
      <c r="W501">
        <v>10000</v>
      </c>
      <c r="X501">
        <v>0.17187499329009551</v>
      </c>
      <c r="Y501">
        <v>0.21354134928790963</v>
      </c>
    </row>
    <row r="502" spans="1:25" x14ac:dyDescent="0.2">
      <c r="A502" s="60" t="s">
        <v>3086</v>
      </c>
      <c r="B502" t="s">
        <v>3087</v>
      </c>
      <c r="C502" t="s">
        <v>3088</v>
      </c>
      <c r="D502" t="s">
        <v>1375</v>
      </c>
      <c r="F502">
        <v>301140</v>
      </c>
      <c r="J502">
        <v>1</v>
      </c>
      <c r="L502" t="s">
        <v>876</v>
      </c>
      <c r="M502" t="s">
        <v>876</v>
      </c>
      <c r="N502" t="s">
        <v>876</v>
      </c>
      <c r="O502" t="s">
        <v>876</v>
      </c>
      <c r="P502" t="s">
        <v>876</v>
      </c>
    </row>
    <row r="503" spans="1:25" x14ac:dyDescent="0.2">
      <c r="A503" s="60" t="s">
        <v>3089</v>
      </c>
      <c r="B503" t="s">
        <v>3090</v>
      </c>
      <c r="C503" t="s">
        <v>3091</v>
      </c>
      <c r="D503" t="s">
        <v>1297</v>
      </c>
      <c r="F503">
        <v>301141</v>
      </c>
      <c r="J503">
        <v>1</v>
      </c>
      <c r="L503" t="s">
        <v>3092</v>
      </c>
      <c r="M503" t="s">
        <v>853</v>
      </c>
      <c r="N503" t="s">
        <v>876</v>
      </c>
      <c r="O503" t="s">
        <v>1032</v>
      </c>
      <c r="P503" t="s">
        <v>1033</v>
      </c>
      <c r="T503">
        <v>10000</v>
      </c>
      <c r="U503">
        <v>65.404311509999999</v>
      </c>
      <c r="V503">
        <v>10000</v>
      </c>
      <c r="W503">
        <v>74.314200340296239</v>
      </c>
      <c r="X503">
        <v>4.6874992398688906E-2</v>
      </c>
      <c r="Y503">
        <v>9.8723012712372965E-2</v>
      </c>
    </row>
    <row r="504" spans="1:25" x14ac:dyDescent="0.2">
      <c r="A504" s="60" t="s">
        <v>3093</v>
      </c>
      <c r="B504" t="s">
        <v>3094</v>
      </c>
      <c r="C504" t="s">
        <v>3095</v>
      </c>
      <c r="D504" t="s">
        <v>1307</v>
      </c>
      <c r="F504">
        <v>301142</v>
      </c>
      <c r="J504">
        <v>1</v>
      </c>
      <c r="L504" t="s">
        <v>3096</v>
      </c>
      <c r="M504" t="s">
        <v>856</v>
      </c>
      <c r="N504" t="s">
        <v>876</v>
      </c>
      <c r="O504" t="s">
        <v>667</v>
      </c>
      <c r="P504" t="s">
        <v>1522</v>
      </c>
      <c r="T504">
        <v>977.60492160000001</v>
      </c>
      <c r="U504">
        <v>10000</v>
      </c>
      <c r="V504">
        <v>10000</v>
      </c>
      <c r="W504">
        <v>10000</v>
      </c>
      <c r="X504">
        <v>0.1433727286712396</v>
      </c>
      <c r="Y504">
        <v>0.15386200345022438</v>
      </c>
    </row>
    <row r="505" spans="1:25" x14ac:dyDescent="0.2">
      <c r="A505" s="60" t="s">
        <v>3097</v>
      </c>
      <c r="B505" t="s">
        <v>3098</v>
      </c>
      <c r="C505" t="s">
        <v>3099</v>
      </c>
      <c r="D505" t="s">
        <v>1307</v>
      </c>
      <c r="F505">
        <v>301143</v>
      </c>
      <c r="J505">
        <v>1</v>
      </c>
      <c r="L505" t="s">
        <v>3100</v>
      </c>
      <c r="M505" t="s">
        <v>3101</v>
      </c>
      <c r="N505" t="s">
        <v>876</v>
      </c>
      <c r="O505" t="s">
        <v>1032</v>
      </c>
      <c r="P505" t="s">
        <v>1033</v>
      </c>
      <c r="T505">
        <v>10000</v>
      </c>
      <c r="U505" t="s">
        <v>0</v>
      </c>
      <c r="V505">
        <v>10000</v>
      </c>
      <c r="W505" t="s">
        <v>0</v>
      </c>
      <c r="X505">
        <v>0.14583333594557119</v>
      </c>
      <c r="Y505">
        <v>0.30729165978514766</v>
      </c>
    </row>
    <row r="506" spans="1:25" x14ac:dyDescent="0.2">
      <c r="A506" s="60" t="s">
        <v>3102</v>
      </c>
      <c r="B506" t="s">
        <v>3103</v>
      </c>
      <c r="C506" t="s">
        <v>3104</v>
      </c>
      <c r="D506" t="s">
        <v>1517</v>
      </c>
      <c r="F506">
        <v>301144</v>
      </c>
      <c r="J506">
        <v>1</v>
      </c>
      <c r="L506" t="s">
        <v>876</v>
      </c>
      <c r="M506" t="s">
        <v>876</v>
      </c>
      <c r="N506" t="s">
        <v>876</v>
      </c>
      <c r="O506" t="s">
        <v>876</v>
      </c>
      <c r="P506" t="s">
        <v>876</v>
      </c>
    </row>
    <row r="507" spans="1:25" x14ac:dyDescent="0.2">
      <c r="A507" s="60" t="s">
        <v>3105</v>
      </c>
      <c r="B507" t="s">
        <v>3106</v>
      </c>
      <c r="C507" t="s">
        <v>3107</v>
      </c>
      <c r="D507" t="s">
        <v>2962</v>
      </c>
      <c r="F507">
        <v>301145</v>
      </c>
      <c r="J507">
        <v>1</v>
      </c>
      <c r="L507" t="s">
        <v>876</v>
      </c>
      <c r="M507" t="s">
        <v>876</v>
      </c>
      <c r="N507" t="s">
        <v>876</v>
      </c>
      <c r="O507" t="s">
        <v>876</v>
      </c>
      <c r="P507" t="s">
        <v>876</v>
      </c>
    </row>
    <row r="508" spans="1:25" x14ac:dyDescent="0.2">
      <c r="A508" s="60" t="s">
        <v>3108</v>
      </c>
      <c r="B508" t="s">
        <v>3109</v>
      </c>
      <c r="C508" t="s">
        <v>3110</v>
      </c>
      <c r="D508" t="s">
        <v>1514</v>
      </c>
      <c r="F508">
        <v>301146</v>
      </c>
      <c r="J508">
        <v>1</v>
      </c>
      <c r="L508" t="s">
        <v>876</v>
      </c>
      <c r="M508" t="s">
        <v>876</v>
      </c>
      <c r="N508" t="s">
        <v>876</v>
      </c>
      <c r="O508" t="s">
        <v>876</v>
      </c>
      <c r="P508" t="s">
        <v>876</v>
      </c>
    </row>
    <row r="509" spans="1:25" x14ac:dyDescent="0.2">
      <c r="A509" s="60" t="s">
        <v>1456</v>
      </c>
      <c r="B509" t="s">
        <v>3111</v>
      </c>
      <c r="C509" t="s">
        <v>3112</v>
      </c>
      <c r="D509" t="s">
        <v>1517</v>
      </c>
      <c r="F509">
        <v>301147</v>
      </c>
      <c r="J509">
        <v>1</v>
      </c>
      <c r="L509" t="s">
        <v>876</v>
      </c>
      <c r="M509" t="s">
        <v>876</v>
      </c>
      <c r="N509" t="s">
        <v>876</v>
      </c>
      <c r="O509" t="s">
        <v>876</v>
      </c>
      <c r="P509" t="s">
        <v>876</v>
      </c>
    </row>
    <row r="510" spans="1:25" x14ac:dyDescent="0.2">
      <c r="A510" s="60" t="s">
        <v>1461</v>
      </c>
      <c r="B510" t="s">
        <v>3113</v>
      </c>
      <c r="C510" t="s">
        <v>3114</v>
      </c>
      <c r="D510" t="s">
        <v>1375</v>
      </c>
      <c r="F510">
        <v>301148</v>
      </c>
      <c r="J510">
        <v>1</v>
      </c>
      <c r="L510" t="s">
        <v>876</v>
      </c>
      <c r="M510" t="s">
        <v>876</v>
      </c>
      <c r="N510" t="s">
        <v>876</v>
      </c>
      <c r="O510" t="s">
        <v>876</v>
      </c>
      <c r="P510" t="s">
        <v>876</v>
      </c>
    </row>
    <row r="511" spans="1:25" x14ac:dyDescent="0.2">
      <c r="A511" s="60" t="s">
        <v>3115</v>
      </c>
      <c r="B511" t="s">
        <v>3116</v>
      </c>
      <c r="C511" t="s">
        <v>3117</v>
      </c>
      <c r="D511" t="s">
        <v>1517</v>
      </c>
      <c r="F511">
        <v>301149</v>
      </c>
      <c r="J511">
        <v>1</v>
      </c>
      <c r="L511" t="s">
        <v>876</v>
      </c>
      <c r="M511" t="s">
        <v>876</v>
      </c>
      <c r="N511" t="s">
        <v>876</v>
      </c>
      <c r="O511" t="s">
        <v>876</v>
      </c>
      <c r="P511" t="s">
        <v>876</v>
      </c>
    </row>
    <row r="512" spans="1:25" x14ac:dyDescent="0.2">
      <c r="A512" s="60" t="s">
        <v>3118</v>
      </c>
      <c r="B512" t="s">
        <v>3119</v>
      </c>
      <c r="C512" t="s">
        <v>3120</v>
      </c>
      <c r="D512" t="s">
        <v>1318</v>
      </c>
      <c r="F512">
        <v>301150</v>
      </c>
      <c r="J512">
        <v>1</v>
      </c>
      <c r="L512" t="s">
        <v>3121</v>
      </c>
      <c r="M512" t="s">
        <v>1049</v>
      </c>
      <c r="N512" t="s">
        <v>876</v>
      </c>
      <c r="O512" t="s">
        <v>1032</v>
      </c>
      <c r="P512" t="s">
        <v>1033</v>
      </c>
      <c r="T512">
        <v>10000</v>
      </c>
      <c r="U512">
        <v>0.72116454600000002</v>
      </c>
      <c r="V512">
        <v>10000</v>
      </c>
      <c r="W512">
        <v>4.7444070383675756</v>
      </c>
      <c r="X512">
        <v>0.30729166165739863</v>
      </c>
      <c r="Y512">
        <v>0.93042957100207557</v>
      </c>
    </row>
    <row r="513" spans="1:25" x14ac:dyDescent="0.2">
      <c r="A513" s="60" t="s">
        <v>3122</v>
      </c>
      <c r="B513" t="s">
        <v>3123</v>
      </c>
      <c r="C513" t="s">
        <v>3124</v>
      </c>
      <c r="D513" t="s">
        <v>1514</v>
      </c>
      <c r="F513">
        <v>301151</v>
      </c>
      <c r="J513">
        <v>1</v>
      </c>
      <c r="L513" t="s">
        <v>876</v>
      </c>
      <c r="M513" t="s">
        <v>876</v>
      </c>
      <c r="N513" t="s">
        <v>876</v>
      </c>
      <c r="O513" t="s">
        <v>876</v>
      </c>
      <c r="P513" t="s">
        <v>876</v>
      </c>
    </row>
    <row r="514" spans="1:25" x14ac:dyDescent="0.2">
      <c r="A514" s="60" t="s">
        <v>3125</v>
      </c>
      <c r="B514" t="s">
        <v>3126</v>
      </c>
      <c r="C514" t="s">
        <v>3127</v>
      </c>
      <c r="D514" t="s">
        <v>1517</v>
      </c>
      <c r="F514">
        <v>301152</v>
      </c>
      <c r="J514">
        <v>1</v>
      </c>
      <c r="L514" t="s">
        <v>876</v>
      </c>
      <c r="M514" t="s">
        <v>876</v>
      </c>
      <c r="N514" t="s">
        <v>876</v>
      </c>
      <c r="O514" t="s">
        <v>876</v>
      </c>
      <c r="P514" t="s">
        <v>876</v>
      </c>
    </row>
    <row r="515" spans="1:25" x14ac:dyDescent="0.2">
      <c r="A515" s="60" t="s">
        <v>3128</v>
      </c>
      <c r="B515" t="s">
        <v>3129</v>
      </c>
      <c r="C515" t="s">
        <v>3130</v>
      </c>
      <c r="D515" t="s">
        <v>1375</v>
      </c>
      <c r="F515">
        <v>301153</v>
      </c>
      <c r="J515">
        <v>1</v>
      </c>
      <c r="L515" t="s">
        <v>876</v>
      </c>
      <c r="M515" t="s">
        <v>876</v>
      </c>
      <c r="N515" t="s">
        <v>876</v>
      </c>
      <c r="O515" t="s">
        <v>876</v>
      </c>
      <c r="P515" t="s">
        <v>876</v>
      </c>
    </row>
    <row r="516" spans="1:25" x14ac:dyDescent="0.2">
      <c r="A516" s="60" t="s">
        <v>3131</v>
      </c>
      <c r="B516" t="s">
        <v>3132</v>
      </c>
      <c r="C516" t="s">
        <v>3133</v>
      </c>
      <c r="D516" t="s">
        <v>1318</v>
      </c>
      <c r="F516">
        <v>301154</v>
      </c>
      <c r="J516">
        <v>1</v>
      </c>
      <c r="L516" t="s">
        <v>3134</v>
      </c>
      <c r="M516" t="s">
        <v>3135</v>
      </c>
      <c r="N516" t="s">
        <v>876</v>
      </c>
      <c r="O516" t="s">
        <v>1032</v>
      </c>
      <c r="P516" t="s">
        <v>1033</v>
      </c>
      <c r="T516">
        <v>53.427333089999998</v>
      </c>
      <c r="U516">
        <v>53.489889759999997</v>
      </c>
      <c r="V516">
        <v>77.917970645940301</v>
      </c>
      <c r="W516">
        <v>60.352996876248952</v>
      </c>
      <c r="X516">
        <v>0.23849182422013873</v>
      </c>
      <c r="Y516">
        <v>0.30172039468795242</v>
      </c>
    </row>
    <row r="517" spans="1:25" x14ac:dyDescent="0.2">
      <c r="A517" s="60" t="s">
        <v>3136</v>
      </c>
      <c r="B517" t="s">
        <v>3137</v>
      </c>
      <c r="C517" t="s">
        <v>3138</v>
      </c>
      <c r="D517" t="s">
        <v>1517</v>
      </c>
      <c r="F517">
        <v>301155</v>
      </c>
      <c r="J517">
        <v>1</v>
      </c>
      <c r="L517" t="s">
        <v>876</v>
      </c>
      <c r="M517" t="s">
        <v>876</v>
      </c>
      <c r="N517" t="s">
        <v>876</v>
      </c>
      <c r="O517" t="s">
        <v>876</v>
      </c>
      <c r="P517" t="s">
        <v>876</v>
      </c>
    </row>
    <row r="518" spans="1:25" x14ac:dyDescent="0.2">
      <c r="A518" s="60" t="s">
        <v>3139</v>
      </c>
      <c r="B518" t="s">
        <v>3140</v>
      </c>
      <c r="C518" t="s">
        <v>3141</v>
      </c>
      <c r="D518" t="s">
        <v>1388</v>
      </c>
      <c r="F518">
        <v>301156</v>
      </c>
      <c r="J518">
        <v>1</v>
      </c>
      <c r="L518" t="s">
        <v>3142</v>
      </c>
      <c r="M518" t="s">
        <v>3143</v>
      </c>
      <c r="N518" t="s">
        <v>876</v>
      </c>
      <c r="O518" t="s">
        <v>1032</v>
      </c>
      <c r="P518" t="s">
        <v>1033</v>
      </c>
      <c r="T518">
        <v>10000</v>
      </c>
      <c r="U518">
        <v>56.988197</v>
      </c>
      <c r="V518">
        <v>10000</v>
      </c>
      <c r="W518">
        <v>64.193082576608006</v>
      </c>
      <c r="X518">
        <v>4.6875001775035154E-2</v>
      </c>
      <c r="Y518">
        <v>0.12639890186172603</v>
      </c>
    </row>
    <row r="519" spans="1:25" x14ac:dyDescent="0.2">
      <c r="A519" s="60" t="s">
        <v>3144</v>
      </c>
      <c r="B519" t="s">
        <v>3145</v>
      </c>
      <c r="C519" t="s">
        <v>3146</v>
      </c>
      <c r="D519" t="s">
        <v>1307</v>
      </c>
      <c r="F519">
        <v>301158</v>
      </c>
      <c r="J519">
        <v>1</v>
      </c>
      <c r="L519" t="s">
        <v>3147</v>
      </c>
      <c r="M519" t="s">
        <v>3148</v>
      </c>
      <c r="N519" t="s">
        <v>876</v>
      </c>
      <c r="O519" t="s">
        <v>1032</v>
      </c>
      <c r="P519" t="s">
        <v>1033</v>
      </c>
      <c r="T519">
        <v>731.55773050000005</v>
      </c>
      <c r="U519">
        <v>10000</v>
      </c>
      <c r="V519">
        <v>10000</v>
      </c>
      <c r="W519">
        <v>10000</v>
      </c>
      <c r="X519">
        <v>0.126288568263485</v>
      </c>
      <c r="Y519">
        <v>0.13549080045802703</v>
      </c>
    </row>
    <row r="520" spans="1:25" x14ac:dyDescent="0.2">
      <c r="A520" s="60" t="s">
        <v>3149</v>
      </c>
      <c r="B520" t="s">
        <v>3150</v>
      </c>
      <c r="C520" t="s">
        <v>3151</v>
      </c>
      <c r="D520" t="s">
        <v>1517</v>
      </c>
      <c r="F520">
        <v>301159</v>
      </c>
      <c r="J520">
        <v>1</v>
      </c>
      <c r="L520" t="s">
        <v>876</v>
      </c>
      <c r="M520" t="s">
        <v>876</v>
      </c>
      <c r="N520" t="s">
        <v>876</v>
      </c>
      <c r="O520" t="s">
        <v>876</v>
      </c>
      <c r="P520" t="s">
        <v>876</v>
      </c>
    </row>
    <row r="521" spans="1:25" x14ac:dyDescent="0.2">
      <c r="A521" s="60" t="s">
        <v>812</v>
      </c>
      <c r="B521" t="s">
        <v>3152</v>
      </c>
      <c r="C521" t="s">
        <v>3153</v>
      </c>
      <c r="D521" t="s">
        <v>1297</v>
      </c>
      <c r="F521">
        <v>301160</v>
      </c>
      <c r="J521">
        <v>1</v>
      </c>
      <c r="L521" t="s">
        <v>3154</v>
      </c>
      <c r="M521" t="s">
        <v>930</v>
      </c>
      <c r="N521" t="s">
        <v>876</v>
      </c>
      <c r="O521" t="s">
        <v>1032</v>
      </c>
      <c r="P521" t="s">
        <v>1033</v>
      </c>
      <c r="T521">
        <v>36.403099320000003</v>
      </c>
      <c r="U521">
        <v>24.422734070000001</v>
      </c>
      <c r="V521">
        <v>10000</v>
      </c>
      <c r="W521">
        <v>10000</v>
      </c>
      <c r="X521">
        <v>0.19479871368436669</v>
      </c>
      <c r="Y521">
        <v>0.28882750828029274</v>
      </c>
    </row>
    <row r="522" spans="1:25" x14ac:dyDescent="0.2">
      <c r="A522" s="60" t="s">
        <v>990</v>
      </c>
      <c r="B522" t="s">
        <v>3155</v>
      </c>
      <c r="C522" t="s">
        <v>3156</v>
      </c>
      <c r="D522" t="s">
        <v>1517</v>
      </c>
      <c r="F522">
        <v>301161</v>
      </c>
      <c r="J522">
        <v>1</v>
      </c>
      <c r="L522" t="s">
        <v>876</v>
      </c>
      <c r="M522" t="s">
        <v>876</v>
      </c>
      <c r="N522" t="s">
        <v>876</v>
      </c>
      <c r="O522" t="s">
        <v>876</v>
      </c>
      <c r="P522" t="s">
        <v>876</v>
      </c>
    </row>
    <row r="523" spans="1:25" x14ac:dyDescent="0.2">
      <c r="A523" s="60" t="s">
        <v>3157</v>
      </c>
      <c r="B523" t="s">
        <v>3158</v>
      </c>
      <c r="C523" t="s">
        <v>3159</v>
      </c>
      <c r="D523" t="s">
        <v>1517</v>
      </c>
      <c r="F523">
        <v>301162</v>
      </c>
      <c r="J523">
        <v>1</v>
      </c>
      <c r="L523" t="s">
        <v>876</v>
      </c>
      <c r="M523" t="s">
        <v>876</v>
      </c>
      <c r="N523" t="s">
        <v>876</v>
      </c>
      <c r="O523" t="s">
        <v>876</v>
      </c>
      <c r="P523" t="s">
        <v>876</v>
      </c>
    </row>
    <row r="524" spans="1:25" x14ac:dyDescent="0.2">
      <c r="A524" s="60" t="s">
        <v>3160</v>
      </c>
      <c r="B524" t="s">
        <v>3161</v>
      </c>
      <c r="C524" t="s">
        <v>3162</v>
      </c>
      <c r="D524" t="s">
        <v>3163</v>
      </c>
      <c r="F524">
        <v>301163</v>
      </c>
      <c r="J524">
        <v>1</v>
      </c>
      <c r="L524" t="s">
        <v>876</v>
      </c>
      <c r="M524" t="s">
        <v>876</v>
      </c>
      <c r="N524" t="s">
        <v>876</v>
      </c>
      <c r="O524" t="s">
        <v>876</v>
      </c>
      <c r="P524" t="s">
        <v>876</v>
      </c>
    </row>
    <row r="525" spans="1:25" x14ac:dyDescent="0.2">
      <c r="A525" s="60" t="s">
        <v>3164</v>
      </c>
      <c r="B525" t="s">
        <v>3165</v>
      </c>
      <c r="C525" t="s">
        <v>3166</v>
      </c>
      <c r="D525" t="s">
        <v>1517</v>
      </c>
      <c r="F525">
        <v>301164</v>
      </c>
      <c r="J525">
        <v>1</v>
      </c>
      <c r="L525" t="s">
        <v>876</v>
      </c>
      <c r="M525" t="s">
        <v>876</v>
      </c>
      <c r="N525" t="s">
        <v>876</v>
      </c>
      <c r="O525" t="s">
        <v>876</v>
      </c>
      <c r="P525" t="s">
        <v>876</v>
      </c>
    </row>
    <row r="526" spans="1:25" x14ac:dyDescent="0.2">
      <c r="A526" s="60" t="s">
        <v>920</v>
      </c>
      <c r="B526" t="s">
        <v>3167</v>
      </c>
      <c r="C526" t="s">
        <v>3168</v>
      </c>
      <c r="D526" t="s">
        <v>1517</v>
      </c>
      <c r="F526">
        <v>301165</v>
      </c>
      <c r="J526">
        <v>1</v>
      </c>
      <c r="L526" t="s">
        <v>876</v>
      </c>
      <c r="M526" t="s">
        <v>876</v>
      </c>
      <c r="N526" t="s">
        <v>876</v>
      </c>
      <c r="O526" t="s">
        <v>876</v>
      </c>
      <c r="P526" t="s">
        <v>876</v>
      </c>
    </row>
    <row r="527" spans="1:25" x14ac:dyDescent="0.2">
      <c r="A527" s="60" t="s">
        <v>922</v>
      </c>
      <c r="B527" t="s">
        <v>3169</v>
      </c>
      <c r="C527" t="s">
        <v>3170</v>
      </c>
      <c r="D527" t="s">
        <v>3171</v>
      </c>
      <c r="F527">
        <v>301166</v>
      </c>
      <c r="J527">
        <v>1</v>
      </c>
      <c r="L527" t="s">
        <v>876</v>
      </c>
      <c r="M527" t="s">
        <v>876</v>
      </c>
      <c r="N527" t="s">
        <v>876</v>
      </c>
      <c r="O527" t="s">
        <v>876</v>
      </c>
      <c r="P527" t="s">
        <v>876</v>
      </c>
    </row>
    <row r="528" spans="1:25" x14ac:dyDescent="0.2">
      <c r="A528" s="60" t="s">
        <v>3172</v>
      </c>
      <c r="B528" t="s">
        <v>3173</v>
      </c>
      <c r="C528" t="s">
        <v>3174</v>
      </c>
      <c r="D528" t="s">
        <v>1375</v>
      </c>
      <c r="F528">
        <v>301167</v>
      </c>
      <c r="J528">
        <v>1</v>
      </c>
      <c r="L528" t="s">
        <v>876</v>
      </c>
      <c r="M528" t="s">
        <v>876</v>
      </c>
      <c r="N528" t="s">
        <v>876</v>
      </c>
      <c r="O528" t="s">
        <v>876</v>
      </c>
      <c r="P528" t="s">
        <v>876</v>
      </c>
    </row>
    <row r="529" spans="1:25" x14ac:dyDescent="0.2">
      <c r="A529" s="60" t="s">
        <v>3175</v>
      </c>
      <c r="B529" t="s">
        <v>3176</v>
      </c>
      <c r="C529" t="s">
        <v>3177</v>
      </c>
      <c r="D529" t="s">
        <v>866</v>
      </c>
      <c r="F529">
        <v>301168</v>
      </c>
      <c r="J529">
        <v>1</v>
      </c>
      <c r="L529" t="s">
        <v>876</v>
      </c>
      <c r="M529" t="s">
        <v>876</v>
      </c>
      <c r="N529" t="s">
        <v>876</v>
      </c>
      <c r="O529" t="s">
        <v>876</v>
      </c>
      <c r="P529" t="s">
        <v>876</v>
      </c>
    </row>
    <row r="530" spans="1:25" x14ac:dyDescent="0.2">
      <c r="A530" s="60" t="s">
        <v>3178</v>
      </c>
      <c r="B530" t="s">
        <v>3179</v>
      </c>
      <c r="C530" t="s">
        <v>3180</v>
      </c>
      <c r="D530" t="s">
        <v>1517</v>
      </c>
      <c r="F530">
        <v>301169</v>
      </c>
      <c r="J530">
        <v>1</v>
      </c>
      <c r="L530" t="s">
        <v>876</v>
      </c>
      <c r="M530" t="s">
        <v>876</v>
      </c>
      <c r="N530" t="s">
        <v>876</v>
      </c>
      <c r="O530" t="s">
        <v>876</v>
      </c>
      <c r="P530" t="s">
        <v>876</v>
      </c>
    </row>
    <row r="531" spans="1:25" x14ac:dyDescent="0.2">
      <c r="A531" s="60" t="s">
        <v>1470</v>
      </c>
      <c r="B531" t="s">
        <v>3181</v>
      </c>
      <c r="C531" t="s">
        <v>3182</v>
      </c>
      <c r="D531" t="s">
        <v>1375</v>
      </c>
      <c r="F531">
        <v>301170</v>
      </c>
      <c r="J531">
        <v>1</v>
      </c>
      <c r="L531" t="s">
        <v>876</v>
      </c>
      <c r="M531" t="s">
        <v>876</v>
      </c>
      <c r="N531" t="s">
        <v>876</v>
      </c>
      <c r="O531" t="s">
        <v>876</v>
      </c>
      <c r="P531" t="s">
        <v>876</v>
      </c>
    </row>
    <row r="532" spans="1:25" x14ac:dyDescent="0.2">
      <c r="A532" s="60" t="s">
        <v>1475</v>
      </c>
      <c r="B532" t="s">
        <v>3183</v>
      </c>
      <c r="C532" t="s">
        <v>3184</v>
      </c>
      <c r="D532" t="s">
        <v>1297</v>
      </c>
      <c r="F532">
        <v>301171</v>
      </c>
      <c r="J532">
        <v>1</v>
      </c>
      <c r="L532" t="s">
        <v>3185</v>
      </c>
      <c r="M532" t="s">
        <v>3186</v>
      </c>
      <c r="N532" t="s">
        <v>876</v>
      </c>
      <c r="O532" t="s">
        <v>1032</v>
      </c>
      <c r="P532" t="s">
        <v>1033</v>
      </c>
      <c r="T532">
        <v>10000</v>
      </c>
      <c r="U532">
        <v>635.86052949999998</v>
      </c>
      <c r="V532">
        <v>10000</v>
      </c>
      <c r="W532">
        <v>10000</v>
      </c>
      <c r="X532">
        <v>4.687499439982324E-2</v>
      </c>
      <c r="Y532">
        <v>0.1079361886722696</v>
      </c>
    </row>
    <row r="533" spans="1:25" x14ac:dyDescent="0.2">
      <c r="A533" s="60" t="s">
        <v>3187</v>
      </c>
      <c r="B533" t="s">
        <v>3188</v>
      </c>
      <c r="C533" t="s">
        <v>3189</v>
      </c>
      <c r="D533" t="s">
        <v>1517</v>
      </c>
      <c r="F533">
        <v>301172</v>
      </c>
      <c r="J533">
        <v>1</v>
      </c>
      <c r="L533" t="s">
        <v>876</v>
      </c>
      <c r="M533" t="s">
        <v>876</v>
      </c>
      <c r="N533" t="s">
        <v>876</v>
      </c>
      <c r="O533" t="s">
        <v>876</v>
      </c>
      <c r="P533" t="s">
        <v>876</v>
      </c>
    </row>
    <row r="534" spans="1:25" x14ac:dyDescent="0.2">
      <c r="A534" s="60" t="s">
        <v>783</v>
      </c>
      <c r="B534" t="s">
        <v>3190</v>
      </c>
      <c r="C534" t="s">
        <v>3191</v>
      </c>
      <c r="D534" t="s">
        <v>1517</v>
      </c>
      <c r="F534">
        <v>301173</v>
      </c>
      <c r="J534">
        <v>1</v>
      </c>
      <c r="L534" t="s">
        <v>876</v>
      </c>
      <c r="M534" t="s">
        <v>876</v>
      </c>
      <c r="N534" t="s">
        <v>876</v>
      </c>
      <c r="O534" t="s">
        <v>876</v>
      </c>
      <c r="P534" t="s">
        <v>876</v>
      </c>
    </row>
    <row r="535" spans="1:25" x14ac:dyDescent="0.2">
      <c r="A535" s="60" t="s">
        <v>1480</v>
      </c>
      <c r="B535" t="s">
        <v>3192</v>
      </c>
      <c r="C535" t="s">
        <v>3193</v>
      </c>
      <c r="D535" t="s">
        <v>1517</v>
      </c>
      <c r="F535">
        <v>301174</v>
      </c>
      <c r="J535">
        <v>1</v>
      </c>
      <c r="L535" t="s">
        <v>876</v>
      </c>
      <c r="M535" t="s">
        <v>876</v>
      </c>
      <c r="N535" t="s">
        <v>876</v>
      </c>
      <c r="O535" t="s">
        <v>876</v>
      </c>
      <c r="P535" t="s">
        <v>876</v>
      </c>
    </row>
    <row r="536" spans="1:25" x14ac:dyDescent="0.2">
      <c r="A536" s="60" t="s">
        <v>1485</v>
      </c>
      <c r="B536" t="s">
        <v>3194</v>
      </c>
      <c r="C536" t="s">
        <v>3195</v>
      </c>
      <c r="D536" t="s">
        <v>1517</v>
      </c>
      <c r="F536">
        <v>301175</v>
      </c>
      <c r="J536">
        <v>1</v>
      </c>
      <c r="L536" t="s">
        <v>876</v>
      </c>
      <c r="M536" t="s">
        <v>876</v>
      </c>
      <c r="N536" t="s">
        <v>876</v>
      </c>
      <c r="O536" t="s">
        <v>876</v>
      </c>
      <c r="P536" t="s">
        <v>876</v>
      </c>
    </row>
    <row r="537" spans="1:25" x14ac:dyDescent="0.2">
      <c r="A537" s="60" t="s">
        <v>3196</v>
      </c>
      <c r="B537" t="s">
        <v>3197</v>
      </c>
      <c r="C537" t="s">
        <v>3198</v>
      </c>
      <c r="D537" t="s">
        <v>1318</v>
      </c>
      <c r="F537">
        <v>301176</v>
      </c>
      <c r="J537">
        <v>1</v>
      </c>
      <c r="L537" t="s">
        <v>3199</v>
      </c>
      <c r="M537" t="s">
        <v>3200</v>
      </c>
      <c r="N537" t="s">
        <v>876</v>
      </c>
      <c r="O537" t="s">
        <v>1032</v>
      </c>
      <c r="P537" t="s">
        <v>1033</v>
      </c>
      <c r="T537">
        <v>9.8333824599999993</v>
      </c>
      <c r="U537">
        <v>12.390034529999999</v>
      </c>
      <c r="V537">
        <v>188.10293735805288</v>
      </c>
      <c r="W537">
        <v>68.852496002004656</v>
      </c>
      <c r="X537">
        <v>0.26022446546265726</v>
      </c>
      <c r="Y537">
        <v>0.33227788522592938</v>
      </c>
    </row>
    <row r="538" spans="1:25" x14ac:dyDescent="0.2">
      <c r="A538" s="60" t="s">
        <v>3201</v>
      </c>
      <c r="B538" t="s">
        <v>3202</v>
      </c>
      <c r="C538" t="s">
        <v>3203</v>
      </c>
      <c r="D538" t="s">
        <v>3204</v>
      </c>
      <c r="F538">
        <v>301177</v>
      </c>
      <c r="J538">
        <v>1</v>
      </c>
      <c r="L538" t="s">
        <v>876</v>
      </c>
      <c r="M538" t="s">
        <v>876</v>
      </c>
      <c r="N538" t="s">
        <v>876</v>
      </c>
      <c r="O538" t="s">
        <v>876</v>
      </c>
      <c r="P538" t="s">
        <v>876</v>
      </c>
    </row>
    <row r="539" spans="1:25" x14ac:dyDescent="0.2">
      <c r="A539" s="60" t="s">
        <v>3205</v>
      </c>
      <c r="B539" t="s">
        <v>3206</v>
      </c>
      <c r="C539" t="s">
        <v>3207</v>
      </c>
      <c r="D539" t="s">
        <v>866</v>
      </c>
      <c r="F539">
        <v>301178</v>
      </c>
      <c r="J539">
        <v>1</v>
      </c>
      <c r="L539" t="s">
        <v>876</v>
      </c>
      <c r="M539" t="s">
        <v>876</v>
      </c>
      <c r="N539" t="s">
        <v>876</v>
      </c>
      <c r="O539" t="s">
        <v>876</v>
      </c>
      <c r="P539" t="s">
        <v>876</v>
      </c>
    </row>
    <row r="540" spans="1:25" x14ac:dyDescent="0.2">
      <c r="A540" s="60" t="s">
        <v>3208</v>
      </c>
      <c r="B540" t="s">
        <v>3209</v>
      </c>
      <c r="C540" t="s">
        <v>3210</v>
      </c>
      <c r="D540" t="s">
        <v>1517</v>
      </c>
      <c r="F540">
        <v>301179</v>
      </c>
      <c r="J540">
        <v>1</v>
      </c>
      <c r="L540" t="s">
        <v>876</v>
      </c>
      <c r="M540" t="s">
        <v>876</v>
      </c>
      <c r="N540" t="s">
        <v>876</v>
      </c>
      <c r="O540" t="s">
        <v>876</v>
      </c>
      <c r="P540" t="s">
        <v>876</v>
      </c>
    </row>
    <row r="541" spans="1:25" x14ac:dyDescent="0.2">
      <c r="A541" s="60" t="s">
        <v>3211</v>
      </c>
      <c r="B541" t="s">
        <v>3212</v>
      </c>
      <c r="C541" t="s">
        <v>3213</v>
      </c>
      <c r="D541" t="s">
        <v>1517</v>
      </c>
      <c r="F541">
        <v>301182</v>
      </c>
      <c r="J541">
        <v>1</v>
      </c>
      <c r="L541" t="s">
        <v>876</v>
      </c>
      <c r="M541" t="s">
        <v>876</v>
      </c>
      <c r="N541" t="s">
        <v>876</v>
      </c>
      <c r="O541" t="s">
        <v>876</v>
      </c>
      <c r="P541" t="s">
        <v>876</v>
      </c>
    </row>
    <row r="542" spans="1:25" x14ac:dyDescent="0.2">
      <c r="A542" s="60" t="s">
        <v>3214</v>
      </c>
      <c r="B542" t="s">
        <v>3215</v>
      </c>
      <c r="C542" t="s">
        <v>3216</v>
      </c>
      <c r="D542" t="s">
        <v>1318</v>
      </c>
      <c r="F542">
        <v>301183</v>
      </c>
      <c r="J542">
        <v>1</v>
      </c>
      <c r="L542" t="s">
        <v>3217</v>
      </c>
      <c r="M542" t="s">
        <v>3218</v>
      </c>
      <c r="N542" t="s">
        <v>876</v>
      </c>
      <c r="O542" t="s">
        <v>1032</v>
      </c>
      <c r="P542" t="s">
        <v>1033</v>
      </c>
      <c r="T542" t="s">
        <v>0</v>
      </c>
      <c r="U542">
        <v>7.8719900970000003</v>
      </c>
      <c r="V542" t="s">
        <v>0</v>
      </c>
      <c r="W542">
        <v>17.246750575743466</v>
      </c>
      <c r="X542">
        <v>8.8541672279497524E-2</v>
      </c>
      <c r="Y542">
        <v>0.76833600930542767</v>
      </c>
    </row>
    <row r="543" spans="1:25" x14ac:dyDescent="0.2">
      <c r="A543" s="60" t="s">
        <v>992</v>
      </c>
      <c r="B543" t="s">
        <v>3219</v>
      </c>
      <c r="C543" t="s">
        <v>3220</v>
      </c>
      <c r="D543" t="s">
        <v>1514</v>
      </c>
      <c r="F543">
        <v>301184</v>
      </c>
      <c r="J543">
        <v>1</v>
      </c>
      <c r="L543" t="s">
        <v>876</v>
      </c>
      <c r="M543" t="s">
        <v>876</v>
      </c>
      <c r="N543" t="s">
        <v>876</v>
      </c>
      <c r="O543" t="s">
        <v>876</v>
      </c>
      <c r="P543" t="s">
        <v>876</v>
      </c>
    </row>
    <row r="544" spans="1:25" x14ac:dyDescent="0.2">
      <c r="A544" s="60" t="s">
        <v>3221</v>
      </c>
      <c r="B544" t="s">
        <v>3222</v>
      </c>
      <c r="C544" t="s">
        <v>3223</v>
      </c>
      <c r="D544" t="s">
        <v>1375</v>
      </c>
      <c r="F544">
        <v>301185</v>
      </c>
      <c r="J544">
        <v>1</v>
      </c>
      <c r="L544" t="s">
        <v>876</v>
      </c>
      <c r="M544" t="s">
        <v>876</v>
      </c>
      <c r="N544" t="s">
        <v>876</v>
      </c>
      <c r="O544" t="s">
        <v>876</v>
      </c>
      <c r="P544" t="s">
        <v>876</v>
      </c>
    </row>
    <row r="545" spans="1:25" x14ac:dyDescent="0.2">
      <c r="A545" s="60" t="s">
        <v>3224</v>
      </c>
      <c r="B545" t="s">
        <v>3225</v>
      </c>
      <c r="C545" t="s">
        <v>3226</v>
      </c>
      <c r="D545" t="s">
        <v>1375</v>
      </c>
      <c r="F545">
        <v>301186</v>
      </c>
      <c r="J545">
        <v>1</v>
      </c>
      <c r="L545" t="s">
        <v>876</v>
      </c>
      <c r="M545" t="s">
        <v>876</v>
      </c>
      <c r="N545" t="s">
        <v>876</v>
      </c>
      <c r="O545" t="s">
        <v>876</v>
      </c>
      <c r="P545" t="s">
        <v>876</v>
      </c>
    </row>
    <row r="546" spans="1:25" x14ac:dyDescent="0.2">
      <c r="A546" s="60" t="s">
        <v>3227</v>
      </c>
      <c r="B546" t="s">
        <v>3228</v>
      </c>
      <c r="C546" t="s">
        <v>3229</v>
      </c>
      <c r="D546" t="s">
        <v>1375</v>
      </c>
      <c r="F546">
        <v>301187</v>
      </c>
      <c r="J546">
        <v>1</v>
      </c>
      <c r="L546" t="s">
        <v>876</v>
      </c>
      <c r="M546" t="s">
        <v>876</v>
      </c>
      <c r="N546" t="s">
        <v>876</v>
      </c>
      <c r="O546" t="s">
        <v>876</v>
      </c>
      <c r="P546" t="s">
        <v>876</v>
      </c>
    </row>
    <row r="547" spans="1:25" x14ac:dyDescent="0.2">
      <c r="A547" s="60" t="s">
        <v>3230</v>
      </c>
      <c r="B547" t="s">
        <v>3231</v>
      </c>
      <c r="C547" t="s">
        <v>3232</v>
      </c>
      <c r="D547" t="s">
        <v>1517</v>
      </c>
      <c r="F547">
        <v>301188</v>
      </c>
      <c r="J547">
        <v>1</v>
      </c>
      <c r="L547" t="s">
        <v>876</v>
      </c>
      <c r="M547" t="s">
        <v>876</v>
      </c>
      <c r="N547" t="s">
        <v>876</v>
      </c>
      <c r="O547" t="s">
        <v>876</v>
      </c>
      <c r="P547" t="s">
        <v>876</v>
      </c>
    </row>
    <row r="548" spans="1:25" x14ac:dyDescent="0.2">
      <c r="A548" s="60" t="s">
        <v>3233</v>
      </c>
      <c r="B548" t="s">
        <v>3234</v>
      </c>
      <c r="C548" t="s">
        <v>3235</v>
      </c>
      <c r="D548" t="s">
        <v>1517</v>
      </c>
      <c r="F548">
        <v>301189</v>
      </c>
      <c r="J548">
        <v>1</v>
      </c>
      <c r="L548" t="s">
        <v>876</v>
      </c>
      <c r="M548" t="s">
        <v>876</v>
      </c>
      <c r="N548" t="s">
        <v>876</v>
      </c>
      <c r="O548" t="s">
        <v>876</v>
      </c>
      <c r="P548" t="s">
        <v>876</v>
      </c>
    </row>
    <row r="549" spans="1:25" x14ac:dyDescent="0.2">
      <c r="A549" s="60" t="s">
        <v>3236</v>
      </c>
      <c r="B549" t="s">
        <v>3237</v>
      </c>
      <c r="C549" t="s">
        <v>3238</v>
      </c>
      <c r="D549" t="s">
        <v>1514</v>
      </c>
      <c r="F549">
        <v>301190</v>
      </c>
      <c r="J549">
        <v>1</v>
      </c>
      <c r="L549" t="s">
        <v>876</v>
      </c>
      <c r="M549" t="s">
        <v>876</v>
      </c>
      <c r="N549" t="s">
        <v>876</v>
      </c>
      <c r="O549" t="s">
        <v>876</v>
      </c>
      <c r="P549" t="s">
        <v>876</v>
      </c>
    </row>
    <row r="550" spans="1:25" x14ac:dyDescent="0.2">
      <c r="A550" s="60" t="s">
        <v>3239</v>
      </c>
      <c r="B550" t="s">
        <v>3240</v>
      </c>
      <c r="C550" t="s">
        <v>3241</v>
      </c>
      <c r="D550" t="s">
        <v>866</v>
      </c>
      <c r="F550">
        <v>301191</v>
      </c>
      <c r="J550">
        <v>1</v>
      </c>
      <c r="L550" t="s">
        <v>876</v>
      </c>
      <c r="M550" t="s">
        <v>876</v>
      </c>
      <c r="N550" t="s">
        <v>876</v>
      </c>
      <c r="O550" t="s">
        <v>876</v>
      </c>
      <c r="P550" t="s">
        <v>876</v>
      </c>
    </row>
    <row r="551" spans="1:25" x14ac:dyDescent="0.2">
      <c r="A551" s="60" t="s">
        <v>3242</v>
      </c>
      <c r="B551" t="s">
        <v>3243</v>
      </c>
      <c r="C551" t="s">
        <v>3244</v>
      </c>
      <c r="D551" t="s">
        <v>1517</v>
      </c>
      <c r="F551">
        <v>301192</v>
      </c>
      <c r="J551">
        <v>1</v>
      </c>
      <c r="L551" t="s">
        <v>876</v>
      </c>
      <c r="M551" t="s">
        <v>876</v>
      </c>
      <c r="N551" t="s">
        <v>876</v>
      </c>
      <c r="O551" t="s">
        <v>876</v>
      </c>
      <c r="P551" t="s">
        <v>876</v>
      </c>
    </row>
    <row r="552" spans="1:25" x14ac:dyDescent="0.2">
      <c r="A552" s="60" t="s">
        <v>3245</v>
      </c>
      <c r="B552" t="s">
        <v>3246</v>
      </c>
      <c r="C552" t="s">
        <v>3247</v>
      </c>
      <c r="D552" t="s">
        <v>1517</v>
      </c>
      <c r="F552">
        <v>301193</v>
      </c>
      <c r="J552">
        <v>1</v>
      </c>
      <c r="L552" t="s">
        <v>876</v>
      </c>
      <c r="M552" t="s">
        <v>876</v>
      </c>
      <c r="N552" t="s">
        <v>876</v>
      </c>
      <c r="O552" t="s">
        <v>876</v>
      </c>
      <c r="P552" t="s">
        <v>876</v>
      </c>
    </row>
    <row r="553" spans="1:25" x14ac:dyDescent="0.2">
      <c r="A553" s="60" t="s">
        <v>806</v>
      </c>
      <c r="B553" t="s">
        <v>3248</v>
      </c>
      <c r="C553" t="s">
        <v>3249</v>
      </c>
      <c r="D553" t="s">
        <v>3250</v>
      </c>
      <c r="F553">
        <v>301194</v>
      </c>
      <c r="J553">
        <v>1</v>
      </c>
      <c r="L553" t="s">
        <v>876</v>
      </c>
      <c r="M553" t="s">
        <v>876</v>
      </c>
      <c r="N553" t="s">
        <v>876</v>
      </c>
      <c r="O553" t="s">
        <v>876</v>
      </c>
      <c r="P553" t="s">
        <v>876</v>
      </c>
    </row>
    <row r="554" spans="1:25" x14ac:dyDescent="0.2">
      <c r="A554" s="60" t="s">
        <v>924</v>
      </c>
      <c r="B554" t="s">
        <v>3251</v>
      </c>
      <c r="C554" t="s">
        <v>3252</v>
      </c>
      <c r="D554" t="s">
        <v>1375</v>
      </c>
      <c r="F554">
        <v>301195</v>
      </c>
      <c r="J554">
        <v>1</v>
      </c>
      <c r="L554" t="s">
        <v>876</v>
      </c>
      <c r="M554" t="s">
        <v>876</v>
      </c>
      <c r="N554" t="s">
        <v>876</v>
      </c>
      <c r="O554" t="s">
        <v>876</v>
      </c>
      <c r="P554" t="s">
        <v>876</v>
      </c>
    </row>
    <row r="555" spans="1:25" x14ac:dyDescent="0.2">
      <c r="A555" s="60" t="s">
        <v>3253</v>
      </c>
      <c r="B555" t="s">
        <v>3254</v>
      </c>
      <c r="C555" t="s">
        <v>3255</v>
      </c>
      <c r="D555" t="s">
        <v>1514</v>
      </c>
      <c r="F555">
        <v>301196</v>
      </c>
      <c r="J555">
        <v>1</v>
      </c>
      <c r="L555" t="s">
        <v>876</v>
      </c>
      <c r="M555" t="s">
        <v>876</v>
      </c>
      <c r="N555" t="s">
        <v>876</v>
      </c>
      <c r="O555" t="s">
        <v>876</v>
      </c>
      <c r="P555" t="s">
        <v>876</v>
      </c>
    </row>
    <row r="556" spans="1:25" x14ac:dyDescent="0.2">
      <c r="A556" s="60" t="s">
        <v>3256</v>
      </c>
      <c r="B556" t="s">
        <v>3257</v>
      </c>
      <c r="C556" t="s">
        <v>3258</v>
      </c>
      <c r="D556" t="s">
        <v>866</v>
      </c>
      <c r="F556">
        <v>301197</v>
      </c>
      <c r="J556">
        <v>1</v>
      </c>
      <c r="L556" t="s">
        <v>876</v>
      </c>
      <c r="M556" t="s">
        <v>876</v>
      </c>
      <c r="N556" t="s">
        <v>876</v>
      </c>
      <c r="O556" t="s">
        <v>876</v>
      </c>
      <c r="P556" t="s">
        <v>876</v>
      </c>
    </row>
    <row r="557" spans="1:25" x14ac:dyDescent="0.2">
      <c r="A557" s="60" t="s">
        <v>3259</v>
      </c>
      <c r="B557" t="s">
        <v>3260</v>
      </c>
      <c r="C557" t="s">
        <v>3261</v>
      </c>
      <c r="D557" t="s">
        <v>1297</v>
      </c>
      <c r="F557">
        <v>301198</v>
      </c>
      <c r="J557">
        <v>1</v>
      </c>
      <c r="L557" t="s">
        <v>3262</v>
      </c>
      <c r="M557" t="s">
        <v>3263</v>
      </c>
      <c r="N557" t="s">
        <v>876</v>
      </c>
      <c r="O557" t="s">
        <v>1032</v>
      </c>
      <c r="P557" t="s">
        <v>1033</v>
      </c>
      <c r="T557">
        <v>10000</v>
      </c>
      <c r="U557">
        <v>10000</v>
      </c>
      <c r="V557">
        <v>10000</v>
      </c>
      <c r="W557">
        <v>10000</v>
      </c>
      <c r="X557">
        <v>0.13020832672473204</v>
      </c>
      <c r="Y557">
        <v>0.145833331930173</v>
      </c>
    </row>
    <row r="558" spans="1:25" x14ac:dyDescent="0.2">
      <c r="A558" s="60" t="s">
        <v>3264</v>
      </c>
      <c r="B558" t="s">
        <v>3265</v>
      </c>
      <c r="C558" t="s">
        <v>3266</v>
      </c>
      <c r="D558" t="s">
        <v>1514</v>
      </c>
      <c r="F558">
        <v>301199</v>
      </c>
      <c r="J558">
        <v>1</v>
      </c>
      <c r="L558" t="s">
        <v>876</v>
      </c>
      <c r="M558" t="s">
        <v>876</v>
      </c>
      <c r="N558" t="s">
        <v>876</v>
      </c>
      <c r="O558" t="s">
        <v>876</v>
      </c>
      <c r="P558" t="s">
        <v>876</v>
      </c>
    </row>
    <row r="559" spans="1:25" x14ac:dyDescent="0.2">
      <c r="A559" s="60" t="s">
        <v>3267</v>
      </c>
      <c r="B559" t="s">
        <v>3268</v>
      </c>
      <c r="C559" t="s">
        <v>3269</v>
      </c>
      <c r="D559" t="s">
        <v>1375</v>
      </c>
      <c r="F559">
        <v>301200</v>
      </c>
      <c r="J559">
        <v>1</v>
      </c>
      <c r="L559" t="s">
        <v>876</v>
      </c>
      <c r="M559" t="s">
        <v>876</v>
      </c>
      <c r="N559" t="s">
        <v>876</v>
      </c>
      <c r="O559" t="s">
        <v>876</v>
      </c>
      <c r="P559" t="s">
        <v>876</v>
      </c>
    </row>
    <row r="560" spans="1:25" x14ac:dyDescent="0.2">
      <c r="A560" s="60" t="s">
        <v>3270</v>
      </c>
      <c r="B560" t="s">
        <v>3271</v>
      </c>
      <c r="C560" t="s">
        <v>3272</v>
      </c>
      <c r="D560" t="s">
        <v>255</v>
      </c>
      <c r="F560">
        <v>301201</v>
      </c>
      <c r="J560">
        <v>1</v>
      </c>
      <c r="L560" t="s">
        <v>876</v>
      </c>
      <c r="M560" t="s">
        <v>876</v>
      </c>
      <c r="N560" t="s">
        <v>876</v>
      </c>
      <c r="O560" t="s">
        <v>876</v>
      </c>
      <c r="P560" t="s">
        <v>876</v>
      </c>
    </row>
    <row r="561" spans="1:25" x14ac:dyDescent="0.2">
      <c r="A561" s="60" t="s">
        <v>3273</v>
      </c>
      <c r="B561" t="s">
        <v>3274</v>
      </c>
      <c r="C561" t="s">
        <v>3275</v>
      </c>
      <c r="D561" t="s">
        <v>1517</v>
      </c>
      <c r="F561">
        <v>301202</v>
      </c>
      <c r="J561">
        <v>1</v>
      </c>
      <c r="L561" t="s">
        <v>876</v>
      </c>
      <c r="M561" t="s">
        <v>876</v>
      </c>
      <c r="N561" t="s">
        <v>876</v>
      </c>
      <c r="O561" t="s">
        <v>876</v>
      </c>
      <c r="P561" t="s">
        <v>876</v>
      </c>
    </row>
    <row r="562" spans="1:25" x14ac:dyDescent="0.2">
      <c r="A562" s="60" t="s">
        <v>3276</v>
      </c>
      <c r="B562" t="s">
        <v>3277</v>
      </c>
      <c r="C562" t="s">
        <v>3278</v>
      </c>
      <c r="D562" t="s">
        <v>1517</v>
      </c>
      <c r="F562">
        <v>301203</v>
      </c>
      <c r="J562">
        <v>1</v>
      </c>
      <c r="L562" t="s">
        <v>876</v>
      </c>
      <c r="M562" t="s">
        <v>876</v>
      </c>
      <c r="N562" t="s">
        <v>876</v>
      </c>
      <c r="O562" t="s">
        <v>876</v>
      </c>
      <c r="P562" t="s">
        <v>876</v>
      </c>
    </row>
    <row r="563" spans="1:25" x14ac:dyDescent="0.2">
      <c r="A563" s="60" t="s">
        <v>3279</v>
      </c>
      <c r="B563" t="s">
        <v>3280</v>
      </c>
      <c r="C563" t="s">
        <v>3281</v>
      </c>
      <c r="D563" t="s">
        <v>1517</v>
      </c>
      <c r="F563">
        <v>301204</v>
      </c>
      <c r="J563">
        <v>1</v>
      </c>
      <c r="L563" t="s">
        <v>876</v>
      </c>
      <c r="M563" t="s">
        <v>876</v>
      </c>
      <c r="N563" t="s">
        <v>876</v>
      </c>
      <c r="O563" t="s">
        <v>876</v>
      </c>
      <c r="P563" t="s">
        <v>876</v>
      </c>
    </row>
    <row r="564" spans="1:25" x14ac:dyDescent="0.2">
      <c r="A564" s="60" t="s">
        <v>3282</v>
      </c>
      <c r="B564" t="s">
        <v>3283</v>
      </c>
      <c r="C564" t="s">
        <v>3284</v>
      </c>
      <c r="D564" t="s">
        <v>1375</v>
      </c>
      <c r="F564">
        <v>301205</v>
      </c>
      <c r="J564">
        <v>1</v>
      </c>
      <c r="L564" t="s">
        <v>876</v>
      </c>
      <c r="M564" t="s">
        <v>876</v>
      </c>
      <c r="N564" t="s">
        <v>876</v>
      </c>
      <c r="O564" t="s">
        <v>876</v>
      </c>
      <c r="P564" t="s">
        <v>876</v>
      </c>
    </row>
    <row r="565" spans="1:25" x14ac:dyDescent="0.2">
      <c r="A565" s="60" t="s">
        <v>3285</v>
      </c>
      <c r="B565" t="s">
        <v>3286</v>
      </c>
      <c r="C565" t="s">
        <v>3287</v>
      </c>
      <c r="D565" t="s">
        <v>1517</v>
      </c>
      <c r="F565">
        <v>301206</v>
      </c>
      <c r="J565">
        <v>1</v>
      </c>
      <c r="L565" t="s">
        <v>876</v>
      </c>
      <c r="M565" t="s">
        <v>876</v>
      </c>
      <c r="N565" t="s">
        <v>876</v>
      </c>
      <c r="O565" t="s">
        <v>876</v>
      </c>
      <c r="P565" t="s">
        <v>876</v>
      </c>
    </row>
    <row r="566" spans="1:25" x14ac:dyDescent="0.2">
      <c r="A566" s="60" t="s">
        <v>3288</v>
      </c>
      <c r="B566" t="s">
        <v>3289</v>
      </c>
      <c r="C566" t="s">
        <v>3290</v>
      </c>
      <c r="D566" t="s">
        <v>1517</v>
      </c>
      <c r="F566">
        <v>301207</v>
      </c>
      <c r="J566">
        <v>1</v>
      </c>
      <c r="L566" t="s">
        <v>876</v>
      </c>
      <c r="M566" t="s">
        <v>876</v>
      </c>
      <c r="N566" t="s">
        <v>876</v>
      </c>
      <c r="O566" t="s">
        <v>876</v>
      </c>
      <c r="P566" t="s">
        <v>876</v>
      </c>
    </row>
    <row r="567" spans="1:25" x14ac:dyDescent="0.2">
      <c r="A567" s="60" t="s">
        <v>3291</v>
      </c>
      <c r="B567" t="s">
        <v>3292</v>
      </c>
      <c r="C567" t="s">
        <v>3293</v>
      </c>
      <c r="D567" t="s">
        <v>1517</v>
      </c>
      <c r="F567">
        <v>301208</v>
      </c>
      <c r="J567">
        <v>1</v>
      </c>
      <c r="L567" t="s">
        <v>876</v>
      </c>
      <c r="M567" t="s">
        <v>876</v>
      </c>
      <c r="N567" t="s">
        <v>876</v>
      </c>
      <c r="O567" t="s">
        <v>876</v>
      </c>
      <c r="P567" t="s">
        <v>876</v>
      </c>
    </row>
    <row r="568" spans="1:25" x14ac:dyDescent="0.2">
      <c r="A568" s="60" t="s">
        <v>3294</v>
      </c>
      <c r="B568" t="s">
        <v>3295</v>
      </c>
      <c r="C568" t="s">
        <v>3296</v>
      </c>
      <c r="D568" t="s">
        <v>1375</v>
      </c>
      <c r="F568">
        <v>301209</v>
      </c>
      <c r="J568">
        <v>1</v>
      </c>
      <c r="L568" t="s">
        <v>876</v>
      </c>
      <c r="M568" t="s">
        <v>876</v>
      </c>
      <c r="N568" t="s">
        <v>876</v>
      </c>
      <c r="O568" t="s">
        <v>876</v>
      </c>
      <c r="P568" t="s">
        <v>876</v>
      </c>
    </row>
    <row r="569" spans="1:25" x14ac:dyDescent="0.2">
      <c r="A569" s="60" t="s">
        <v>3297</v>
      </c>
      <c r="B569" t="s">
        <v>3298</v>
      </c>
      <c r="C569" t="s">
        <v>3299</v>
      </c>
      <c r="D569" t="s">
        <v>1517</v>
      </c>
      <c r="F569">
        <v>301210</v>
      </c>
      <c r="J569">
        <v>1</v>
      </c>
      <c r="L569" t="s">
        <v>876</v>
      </c>
      <c r="M569" t="s">
        <v>876</v>
      </c>
      <c r="N569" t="s">
        <v>876</v>
      </c>
      <c r="O569" t="s">
        <v>876</v>
      </c>
      <c r="P569" t="s">
        <v>876</v>
      </c>
    </row>
    <row r="570" spans="1:25" x14ac:dyDescent="0.2">
      <c r="A570" s="60" t="s">
        <v>3300</v>
      </c>
      <c r="B570" t="s">
        <v>3301</v>
      </c>
      <c r="C570" t="s">
        <v>3302</v>
      </c>
      <c r="D570" t="s">
        <v>1307</v>
      </c>
      <c r="F570">
        <v>301211</v>
      </c>
      <c r="J570">
        <v>1</v>
      </c>
      <c r="L570" t="s">
        <v>3303</v>
      </c>
      <c r="M570" t="s">
        <v>3304</v>
      </c>
      <c r="N570" t="s">
        <v>876</v>
      </c>
      <c r="O570" t="s">
        <v>1032</v>
      </c>
      <c r="P570" t="s">
        <v>1033</v>
      </c>
      <c r="T570">
        <v>47.516009930000003</v>
      </c>
      <c r="U570">
        <v>52.254678370000001</v>
      </c>
      <c r="V570">
        <v>64.533623006353707</v>
      </c>
      <c r="W570">
        <v>59.089227560313496</v>
      </c>
      <c r="X570">
        <v>0.16940867633735263</v>
      </c>
      <c r="Y570">
        <v>0.20427900681066369</v>
      </c>
    </row>
    <row r="571" spans="1:25" x14ac:dyDescent="0.2">
      <c r="A571" s="60" t="s">
        <v>3305</v>
      </c>
      <c r="B571" t="s">
        <v>3306</v>
      </c>
      <c r="C571" t="s">
        <v>3307</v>
      </c>
      <c r="D571" t="s">
        <v>866</v>
      </c>
      <c r="F571">
        <v>301212</v>
      </c>
      <c r="J571">
        <v>1</v>
      </c>
      <c r="L571" t="s">
        <v>876</v>
      </c>
      <c r="M571" t="s">
        <v>876</v>
      </c>
      <c r="N571" t="s">
        <v>876</v>
      </c>
      <c r="O571" t="s">
        <v>876</v>
      </c>
      <c r="P571" t="s">
        <v>876</v>
      </c>
    </row>
    <row r="572" spans="1:25" x14ac:dyDescent="0.2">
      <c r="A572" s="60" t="s">
        <v>3308</v>
      </c>
      <c r="B572" t="s">
        <v>3309</v>
      </c>
      <c r="C572" t="s">
        <v>3310</v>
      </c>
      <c r="D572" t="s">
        <v>1297</v>
      </c>
      <c r="F572">
        <v>301213</v>
      </c>
      <c r="J572">
        <v>1</v>
      </c>
      <c r="L572" t="s">
        <v>3311</v>
      </c>
      <c r="M572" t="s">
        <v>3312</v>
      </c>
      <c r="N572" t="s">
        <v>876</v>
      </c>
      <c r="O572" t="s">
        <v>1032</v>
      </c>
      <c r="P572" t="s">
        <v>1033</v>
      </c>
      <c r="T572">
        <v>55.007345309999998</v>
      </c>
      <c r="U572">
        <v>24.476708630000001</v>
      </c>
      <c r="V572">
        <v>75.514847498586249</v>
      </c>
      <c r="W572">
        <v>59.725161394454624</v>
      </c>
      <c r="X572">
        <v>0.11385183220425046</v>
      </c>
      <c r="Y572">
        <v>0.32111391488631891</v>
      </c>
    </row>
    <row r="573" spans="1:25" x14ac:dyDescent="0.2">
      <c r="A573" s="60" t="s">
        <v>3313</v>
      </c>
      <c r="B573" t="s">
        <v>3314</v>
      </c>
      <c r="C573" t="s">
        <v>3315</v>
      </c>
      <c r="D573" t="s">
        <v>1375</v>
      </c>
      <c r="F573">
        <v>301214</v>
      </c>
      <c r="J573">
        <v>1</v>
      </c>
      <c r="L573" t="s">
        <v>876</v>
      </c>
      <c r="M573" t="s">
        <v>876</v>
      </c>
      <c r="N573" t="s">
        <v>876</v>
      </c>
      <c r="O573" t="s">
        <v>876</v>
      </c>
      <c r="P573" t="s">
        <v>876</v>
      </c>
    </row>
    <row r="574" spans="1:25" x14ac:dyDescent="0.2">
      <c r="A574" s="60" t="s">
        <v>3316</v>
      </c>
      <c r="B574" t="s">
        <v>3317</v>
      </c>
      <c r="C574" t="s">
        <v>3318</v>
      </c>
      <c r="D574" t="s">
        <v>1517</v>
      </c>
      <c r="F574">
        <v>301215</v>
      </c>
      <c r="J574">
        <v>1</v>
      </c>
      <c r="L574" t="s">
        <v>876</v>
      </c>
      <c r="M574" t="s">
        <v>876</v>
      </c>
      <c r="N574" t="s">
        <v>876</v>
      </c>
      <c r="O574" t="s">
        <v>876</v>
      </c>
      <c r="P574" t="s">
        <v>876</v>
      </c>
    </row>
    <row r="575" spans="1:25" x14ac:dyDescent="0.2">
      <c r="A575" s="60" t="s">
        <v>3319</v>
      </c>
      <c r="B575" t="s">
        <v>3320</v>
      </c>
      <c r="C575" t="s">
        <v>3321</v>
      </c>
      <c r="D575" t="s">
        <v>1517</v>
      </c>
      <c r="F575">
        <v>301216</v>
      </c>
      <c r="J575">
        <v>1</v>
      </c>
      <c r="L575" t="s">
        <v>876</v>
      </c>
      <c r="M575" t="s">
        <v>876</v>
      </c>
      <c r="N575" t="s">
        <v>876</v>
      </c>
      <c r="O575" t="s">
        <v>876</v>
      </c>
      <c r="P575" t="s">
        <v>876</v>
      </c>
    </row>
    <row r="576" spans="1:25" x14ac:dyDescent="0.2">
      <c r="A576" s="60" t="s">
        <v>3322</v>
      </c>
      <c r="B576" t="s">
        <v>3323</v>
      </c>
      <c r="C576" t="s">
        <v>3324</v>
      </c>
      <c r="D576" t="s">
        <v>866</v>
      </c>
      <c r="F576">
        <v>301217</v>
      </c>
      <c r="J576">
        <v>1</v>
      </c>
      <c r="L576" t="s">
        <v>876</v>
      </c>
      <c r="M576" t="s">
        <v>876</v>
      </c>
      <c r="N576" t="s">
        <v>876</v>
      </c>
      <c r="O576" t="s">
        <v>876</v>
      </c>
      <c r="P576" t="s">
        <v>876</v>
      </c>
    </row>
    <row r="577" spans="1:25" x14ac:dyDescent="0.2">
      <c r="A577" s="60" t="s">
        <v>3325</v>
      </c>
      <c r="B577" t="s">
        <v>3326</v>
      </c>
      <c r="C577" t="s">
        <v>3327</v>
      </c>
      <c r="D577" t="s">
        <v>1517</v>
      </c>
      <c r="F577">
        <v>301218</v>
      </c>
      <c r="J577">
        <v>1</v>
      </c>
      <c r="L577" t="s">
        <v>876</v>
      </c>
      <c r="M577" t="s">
        <v>876</v>
      </c>
      <c r="N577" t="s">
        <v>876</v>
      </c>
      <c r="O577" t="s">
        <v>876</v>
      </c>
      <c r="P577" t="s">
        <v>876</v>
      </c>
    </row>
    <row r="578" spans="1:25" x14ac:dyDescent="0.2">
      <c r="A578" s="60" t="s">
        <v>3328</v>
      </c>
      <c r="B578" t="s">
        <v>3329</v>
      </c>
      <c r="C578" t="s">
        <v>3330</v>
      </c>
      <c r="D578" t="s">
        <v>1297</v>
      </c>
      <c r="F578">
        <v>301219</v>
      </c>
      <c r="J578">
        <v>1</v>
      </c>
      <c r="L578" t="s">
        <v>3331</v>
      </c>
      <c r="M578" t="s">
        <v>3332</v>
      </c>
      <c r="N578" t="s">
        <v>876</v>
      </c>
      <c r="O578" t="s">
        <v>1032</v>
      </c>
      <c r="P578" t="s">
        <v>1033</v>
      </c>
      <c r="Q578">
        <v>1</v>
      </c>
      <c r="T578">
        <v>4.6854836129999997</v>
      </c>
      <c r="U578">
        <v>1.801674641</v>
      </c>
      <c r="V578">
        <v>10000</v>
      </c>
      <c r="W578">
        <v>12.455854144688882</v>
      </c>
      <c r="X578">
        <v>0.2464035166213023</v>
      </c>
      <c r="Y578">
        <v>0.73395631223013735</v>
      </c>
    </row>
    <row r="579" spans="1:25" x14ac:dyDescent="0.2">
      <c r="A579" s="60" t="s">
        <v>3333</v>
      </c>
      <c r="B579" t="s">
        <v>3334</v>
      </c>
      <c r="C579" t="s">
        <v>3335</v>
      </c>
      <c r="D579" t="s">
        <v>1517</v>
      </c>
      <c r="F579">
        <v>301220</v>
      </c>
      <c r="J579">
        <v>1</v>
      </c>
      <c r="L579" t="s">
        <v>876</v>
      </c>
      <c r="M579" t="s">
        <v>876</v>
      </c>
      <c r="N579" t="s">
        <v>876</v>
      </c>
      <c r="O579" t="s">
        <v>876</v>
      </c>
      <c r="P579" t="s">
        <v>876</v>
      </c>
    </row>
    <row r="580" spans="1:25" x14ac:dyDescent="0.2">
      <c r="A580" s="60" t="s">
        <v>3336</v>
      </c>
      <c r="B580" t="s">
        <v>3337</v>
      </c>
      <c r="C580" t="s">
        <v>3338</v>
      </c>
      <c r="D580" t="s">
        <v>1514</v>
      </c>
      <c r="F580">
        <v>301221</v>
      </c>
      <c r="J580">
        <v>1</v>
      </c>
      <c r="L580" t="s">
        <v>876</v>
      </c>
      <c r="M580" t="s">
        <v>876</v>
      </c>
      <c r="N580" t="s">
        <v>876</v>
      </c>
      <c r="O580" t="s">
        <v>876</v>
      </c>
      <c r="P580" t="s">
        <v>876</v>
      </c>
    </row>
    <row r="581" spans="1:25" x14ac:dyDescent="0.2">
      <c r="A581" s="60" t="s">
        <v>3339</v>
      </c>
      <c r="B581" t="s">
        <v>3340</v>
      </c>
      <c r="C581" t="s">
        <v>3341</v>
      </c>
      <c r="D581" t="s">
        <v>1375</v>
      </c>
      <c r="F581">
        <v>301222</v>
      </c>
      <c r="J581">
        <v>1</v>
      </c>
      <c r="L581" t="s">
        <v>876</v>
      </c>
      <c r="M581" t="s">
        <v>876</v>
      </c>
      <c r="N581" t="s">
        <v>876</v>
      </c>
      <c r="O581" t="s">
        <v>876</v>
      </c>
      <c r="P581" t="s">
        <v>876</v>
      </c>
    </row>
    <row r="582" spans="1:25" x14ac:dyDescent="0.2">
      <c r="A582" s="60" t="s">
        <v>3342</v>
      </c>
      <c r="B582" t="s">
        <v>3343</v>
      </c>
      <c r="C582" t="s">
        <v>3344</v>
      </c>
      <c r="D582" t="s">
        <v>1517</v>
      </c>
      <c r="F582">
        <v>301223</v>
      </c>
      <c r="J582">
        <v>1</v>
      </c>
      <c r="L582" t="s">
        <v>876</v>
      </c>
      <c r="M582" t="s">
        <v>876</v>
      </c>
      <c r="N582" t="s">
        <v>876</v>
      </c>
      <c r="O582" t="s">
        <v>876</v>
      </c>
      <c r="P582" t="s">
        <v>876</v>
      </c>
    </row>
    <row r="583" spans="1:25" x14ac:dyDescent="0.2">
      <c r="A583" s="60" t="s">
        <v>3345</v>
      </c>
      <c r="B583" t="s">
        <v>3346</v>
      </c>
      <c r="C583" t="s">
        <v>3347</v>
      </c>
      <c r="D583" t="s">
        <v>1375</v>
      </c>
      <c r="F583">
        <v>301224</v>
      </c>
      <c r="J583">
        <v>1</v>
      </c>
      <c r="L583" t="s">
        <v>876</v>
      </c>
      <c r="M583" t="s">
        <v>876</v>
      </c>
      <c r="N583" t="s">
        <v>876</v>
      </c>
      <c r="O583" t="s">
        <v>876</v>
      </c>
      <c r="P583" t="s">
        <v>876</v>
      </c>
    </row>
    <row r="584" spans="1:25" x14ac:dyDescent="0.2">
      <c r="A584" s="60" t="s">
        <v>3348</v>
      </c>
      <c r="B584" t="s">
        <v>3349</v>
      </c>
      <c r="C584" t="s">
        <v>3350</v>
      </c>
      <c r="D584" t="s">
        <v>1318</v>
      </c>
      <c r="F584">
        <v>301225</v>
      </c>
      <c r="J584">
        <v>1</v>
      </c>
      <c r="L584" t="s">
        <v>3351</v>
      </c>
      <c r="M584" t="s">
        <v>3352</v>
      </c>
      <c r="N584" t="s">
        <v>876</v>
      </c>
      <c r="O584" t="s">
        <v>1032</v>
      </c>
      <c r="P584" t="s">
        <v>1033</v>
      </c>
      <c r="T584">
        <v>10000</v>
      </c>
      <c r="U584">
        <v>10000</v>
      </c>
      <c r="V584">
        <v>10000</v>
      </c>
      <c r="W584">
        <v>10000</v>
      </c>
      <c r="X584">
        <v>0.22916669125187877</v>
      </c>
      <c r="Y584">
        <v>0.26562499751326729</v>
      </c>
    </row>
    <row r="585" spans="1:25" x14ac:dyDescent="0.2">
      <c r="A585" s="60" t="s">
        <v>3353</v>
      </c>
      <c r="B585" t="s">
        <v>3354</v>
      </c>
      <c r="C585" t="s">
        <v>3355</v>
      </c>
      <c r="D585" t="s">
        <v>1371</v>
      </c>
      <c r="F585">
        <v>301226</v>
      </c>
      <c r="J585">
        <v>1</v>
      </c>
      <c r="L585" t="s">
        <v>876</v>
      </c>
      <c r="M585" t="s">
        <v>876</v>
      </c>
      <c r="N585" t="s">
        <v>876</v>
      </c>
      <c r="O585" t="s">
        <v>876</v>
      </c>
      <c r="P585" t="s">
        <v>876</v>
      </c>
    </row>
    <row r="586" spans="1:25" x14ac:dyDescent="0.2">
      <c r="A586" s="60" t="s">
        <v>3356</v>
      </c>
      <c r="B586" t="s">
        <v>3357</v>
      </c>
      <c r="C586" t="s">
        <v>3358</v>
      </c>
      <c r="D586" t="s">
        <v>1517</v>
      </c>
      <c r="F586">
        <v>301227</v>
      </c>
      <c r="J586">
        <v>1</v>
      </c>
      <c r="L586" t="s">
        <v>876</v>
      </c>
      <c r="M586" t="s">
        <v>876</v>
      </c>
      <c r="N586" t="s">
        <v>876</v>
      </c>
      <c r="O586" t="s">
        <v>876</v>
      </c>
      <c r="P586" t="s">
        <v>876</v>
      </c>
    </row>
    <row r="587" spans="1:25" x14ac:dyDescent="0.2">
      <c r="A587" s="60" t="s">
        <v>3359</v>
      </c>
      <c r="B587" t="s">
        <v>3360</v>
      </c>
      <c r="C587" t="s">
        <v>3361</v>
      </c>
      <c r="D587" t="s">
        <v>3362</v>
      </c>
      <c r="F587">
        <v>301228</v>
      </c>
      <c r="J587">
        <v>1</v>
      </c>
      <c r="L587" t="s">
        <v>876</v>
      </c>
      <c r="M587" t="s">
        <v>876</v>
      </c>
      <c r="N587" t="s">
        <v>876</v>
      </c>
      <c r="O587" t="s">
        <v>876</v>
      </c>
      <c r="P587" t="s">
        <v>876</v>
      </c>
    </row>
    <row r="588" spans="1:25" x14ac:dyDescent="0.2">
      <c r="A588" s="60" t="s">
        <v>3363</v>
      </c>
      <c r="B588" t="s">
        <v>3364</v>
      </c>
      <c r="C588" t="s">
        <v>3365</v>
      </c>
      <c r="D588" t="s">
        <v>1375</v>
      </c>
      <c r="F588">
        <v>301229</v>
      </c>
      <c r="J588">
        <v>1</v>
      </c>
      <c r="L588" t="s">
        <v>876</v>
      </c>
      <c r="M588" t="s">
        <v>876</v>
      </c>
      <c r="N588" t="s">
        <v>876</v>
      </c>
      <c r="O588" t="s">
        <v>876</v>
      </c>
      <c r="P588" t="s">
        <v>876</v>
      </c>
    </row>
    <row r="589" spans="1:25" x14ac:dyDescent="0.2">
      <c r="A589" s="60" t="s">
        <v>3366</v>
      </c>
      <c r="B589" t="s">
        <v>3367</v>
      </c>
      <c r="C589" t="s">
        <v>3368</v>
      </c>
      <c r="D589" t="s">
        <v>1517</v>
      </c>
      <c r="F589">
        <v>301230</v>
      </c>
      <c r="J589">
        <v>1</v>
      </c>
      <c r="L589" t="s">
        <v>876</v>
      </c>
      <c r="M589" t="s">
        <v>876</v>
      </c>
      <c r="N589" t="s">
        <v>876</v>
      </c>
      <c r="O589" t="s">
        <v>876</v>
      </c>
      <c r="P589" t="s">
        <v>876</v>
      </c>
    </row>
    <row r="590" spans="1:25" x14ac:dyDescent="0.2">
      <c r="A590" s="60" t="s">
        <v>3369</v>
      </c>
      <c r="B590" t="s">
        <v>3370</v>
      </c>
      <c r="C590" t="s">
        <v>3371</v>
      </c>
      <c r="D590" t="s">
        <v>1517</v>
      </c>
      <c r="F590">
        <v>301231</v>
      </c>
      <c r="J590">
        <v>1</v>
      </c>
      <c r="L590" t="s">
        <v>876</v>
      </c>
      <c r="M590" t="s">
        <v>876</v>
      </c>
      <c r="N590" t="s">
        <v>876</v>
      </c>
      <c r="O590" t="s">
        <v>876</v>
      </c>
      <c r="P590" t="s">
        <v>876</v>
      </c>
    </row>
    <row r="591" spans="1:25" x14ac:dyDescent="0.2">
      <c r="A591" s="60" t="s">
        <v>3372</v>
      </c>
      <c r="B591" t="s">
        <v>3373</v>
      </c>
      <c r="C591" t="s">
        <v>3374</v>
      </c>
      <c r="D591" t="s">
        <v>1517</v>
      </c>
      <c r="F591">
        <v>301232</v>
      </c>
      <c r="J591">
        <v>1</v>
      </c>
      <c r="L591" t="s">
        <v>876</v>
      </c>
      <c r="M591" t="s">
        <v>876</v>
      </c>
      <c r="N591" t="s">
        <v>876</v>
      </c>
      <c r="O591" t="s">
        <v>876</v>
      </c>
      <c r="P591" t="s">
        <v>876</v>
      </c>
    </row>
    <row r="592" spans="1:25" x14ac:dyDescent="0.2">
      <c r="A592" s="60" t="s">
        <v>785</v>
      </c>
      <c r="B592" t="s">
        <v>3375</v>
      </c>
      <c r="C592" t="s">
        <v>3376</v>
      </c>
      <c r="D592" t="s">
        <v>2958</v>
      </c>
      <c r="F592">
        <v>301233</v>
      </c>
      <c r="J592">
        <v>1</v>
      </c>
      <c r="L592" t="s">
        <v>876</v>
      </c>
      <c r="M592" t="s">
        <v>876</v>
      </c>
      <c r="N592" t="s">
        <v>876</v>
      </c>
      <c r="O592" t="s">
        <v>876</v>
      </c>
      <c r="P592" t="s">
        <v>876</v>
      </c>
    </row>
    <row r="593" spans="1:25" x14ac:dyDescent="0.2">
      <c r="A593" s="60" t="s">
        <v>3377</v>
      </c>
      <c r="B593" t="s">
        <v>3378</v>
      </c>
      <c r="C593" t="s">
        <v>3379</v>
      </c>
      <c r="D593" t="s">
        <v>1307</v>
      </c>
      <c r="F593">
        <v>301234</v>
      </c>
      <c r="J593">
        <v>1</v>
      </c>
      <c r="L593" t="s">
        <v>3380</v>
      </c>
      <c r="M593" t="s">
        <v>3381</v>
      </c>
      <c r="N593" t="s">
        <v>876</v>
      </c>
      <c r="O593" t="s">
        <v>1032</v>
      </c>
      <c r="P593" t="s">
        <v>1033</v>
      </c>
      <c r="T593">
        <v>64.621474669999998</v>
      </c>
      <c r="U593">
        <v>64.401542109999994</v>
      </c>
      <c r="V593">
        <v>72.37737328454304</v>
      </c>
      <c r="W593">
        <v>72.263924979829966</v>
      </c>
      <c r="X593">
        <v>9.2832157277195029E-2</v>
      </c>
      <c r="Y593">
        <v>0.15535525703994685</v>
      </c>
    </row>
    <row r="594" spans="1:25" x14ac:dyDescent="0.2">
      <c r="A594" s="60" t="s">
        <v>3382</v>
      </c>
      <c r="B594" t="s">
        <v>3383</v>
      </c>
      <c r="C594" t="s">
        <v>3384</v>
      </c>
      <c r="D594" t="s">
        <v>1699</v>
      </c>
      <c r="F594">
        <v>301235</v>
      </c>
      <c r="J594">
        <v>1</v>
      </c>
      <c r="L594" t="s">
        <v>876</v>
      </c>
      <c r="M594" t="s">
        <v>876</v>
      </c>
      <c r="N594" t="s">
        <v>876</v>
      </c>
      <c r="O594" t="s">
        <v>876</v>
      </c>
      <c r="P594" t="s">
        <v>876</v>
      </c>
    </row>
    <row r="595" spans="1:25" x14ac:dyDescent="0.2">
      <c r="A595" s="60" t="s">
        <v>3385</v>
      </c>
      <c r="B595" t="s">
        <v>3386</v>
      </c>
      <c r="C595" t="s">
        <v>3387</v>
      </c>
      <c r="D595" t="s">
        <v>1517</v>
      </c>
      <c r="F595">
        <v>301236</v>
      </c>
      <c r="J595">
        <v>1</v>
      </c>
      <c r="L595" t="s">
        <v>876</v>
      </c>
      <c r="M595" t="s">
        <v>876</v>
      </c>
      <c r="N595" t="s">
        <v>876</v>
      </c>
      <c r="O595" t="s">
        <v>876</v>
      </c>
      <c r="P595" t="s">
        <v>876</v>
      </c>
    </row>
    <row r="596" spans="1:25" x14ac:dyDescent="0.2">
      <c r="A596" s="60" t="s">
        <v>3388</v>
      </c>
      <c r="B596" t="s">
        <v>3389</v>
      </c>
      <c r="C596" t="s">
        <v>3390</v>
      </c>
      <c r="D596" t="s">
        <v>1517</v>
      </c>
      <c r="F596">
        <v>301237</v>
      </c>
      <c r="J596">
        <v>1</v>
      </c>
      <c r="L596" t="s">
        <v>876</v>
      </c>
      <c r="M596" t="s">
        <v>876</v>
      </c>
      <c r="N596" t="s">
        <v>876</v>
      </c>
      <c r="O596" t="s">
        <v>876</v>
      </c>
      <c r="P596" t="s">
        <v>876</v>
      </c>
    </row>
    <row r="597" spans="1:25" x14ac:dyDescent="0.2">
      <c r="A597" s="60" t="s">
        <v>3391</v>
      </c>
      <c r="B597" t="s">
        <v>3392</v>
      </c>
      <c r="C597" t="s">
        <v>3393</v>
      </c>
      <c r="D597" t="s">
        <v>1307</v>
      </c>
      <c r="F597">
        <v>301238</v>
      </c>
      <c r="J597">
        <v>1</v>
      </c>
      <c r="L597" t="s">
        <v>3394</v>
      </c>
      <c r="M597" t="s">
        <v>3395</v>
      </c>
      <c r="N597" t="s">
        <v>876</v>
      </c>
      <c r="O597" t="s">
        <v>1032</v>
      </c>
      <c r="P597" t="s">
        <v>1033</v>
      </c>
      <c r="T597">
        <v>57.731085909999997</v>
      </c>
      <c r="U597">
        <v>55.432642229999999</v>
      </c>
      <c r="V597">
        <v>87.91411876391426</v>
      </c>
      <c r="W597">
        <v>76.123971651543982</v>
      </c>
      <c r="X597">
        <v>0.16050494057681586</v>
      </c>
      <c r="Y597">
        <v>0.20915638046369764</v>
      </c>
    </row>
    <row r="598" spans="1:25" x14ac:dyDescent="0.2">
      <c r="A598" s="60" t="s">
        <v>3396</v>
      </c>
      <c r="B598" t="s">
        <v>3397</v>
      </c>
      <c r="C598" t="s">
        <v>3398</v>
      </c>
      <c r="D598" t="s">
        <v>866</v>
      </c>
      <c r="F598">
        <v>301239</v>
      </c>
      <c r="J598">
        <v>1</v>
      </c>
      <c r="L598" t="s">
        <v>876</v>
      </c>
      <c r="M598" t="s">
        <v>876</v>
      </c>
      <c r="N598" t="s">
        <v>876</v>
      </c>
      <c r="O598" t="s">
        <v>876</v>
      </c>
      <c r="P598" t="s">
        <v>876</v>
      </c>
    </row>
    <row r="599" spans="1:25" x14ac:dyDescent="0.2">
      <c r="A599" s="60" t="s">
        <v>995</v>
      </c>
      <c r="B599" t="s">
        <v>3399</v>
      </c>
      <c r="C599" t="s">
        <v>3400</v>
      </c>
      <c r="D599" t="s">
        <v>1517</v>
      </c>
      <c r="F599">
        <v>301240</v>
      </c>
      <c r="J599">
        <v>1</v>
      </c>
      <c r="L599" t="s">
        <v>876</v>
      </c>
      <c r="M599" t="s">
        <v>876</v>
      </c>
      <c r="N599" t="s">
        <v>876</v>
      </c>
      <c r="O599" t="s">
        <v>876</v>
      </c>
      <c r="P599" t="s">
        <v>876</v>
      </c>
    </row>
    <row r="600" spans="1:25" x14ac:dyDescent="0.2">
      <c r="A600" s="60" t="s">
        <v>3401</v>
      </c>
      <c r="B600" t="s">
        <v>3402</v>
      </c>
      <c r="C600" t="s">
        <v>3403</v>
      </c>
      <c r="D600" t="s">
        <v>866</v>
      </c>
      <c r="F600">
        <v>301241</v>
      </c>
      <c r="J600">
        <v>1</v>
      </c>
      <c r="L600" t="s">
        <v>876</v>
      </c>
      <c r="M600" t="s">
        <v>876</v>
      </c>
      <c r="N600" t="s">
        <v>876</v>
      </c>
      <c r="O600" t="s">
        <v>876</v>
      </c>
      <c r="P600" t="s">
        <v>876</v>
      </c>
    </row>
    <row r="601" spans="1:25" x14ac:dyDescent="0.2">
      <c r="A601" s="60" t="s">
        <v>3404</v>
      </c>
      <c r="B601" t="s">
        <v>3405</v>
      </c>
      <c r="C601" t="s">
        <v>3406</v>
      </c>
      <c r="D601" t="s">
        <v>1375</v>
      </c>
      <c r="F601">
        <v>301242</v>
      </c>
      <c r="J601">
        <v>1</v>
      </c>
      <c r="L601" t="s">
        <v>876</v>
      </c>
      <c r="M601" t="s">
        <v>876</v>
      </c>
      <c r="N601" t="s">
        <v>876</v>
      </c>
      <c r="O601" t="s">
        <v>876</v>
      </c>
      <c r="P601" t="s">
        <v>876</v>
      </c>
    </row>
    <row r="602" spans="1:25" x14ac:dyDescent="0.2">
      <c r="A602" s="60" t="s">
        <v>3407</v>
      </c>
      <c r="B602" t="s">
        <v>3408</v>
      </c>
      <c r="C602" t="s">
        <v>3409</v>
      </c>
      <c r="D602" t="s">
        <v>1307</v>
      </c>
      <c r="F602">
        <v>301243</v>
      </c>
      <c r="J602">
        <v>1</v>
      </c>
      <c r="L602" t="s">
        <v>3410</v>
      </c>
      <c r="M602" t="s">
        <v>3411</v>
      </c>
      <c r="N602" t="s">
        <v>876</v>
      </c>
      <c r="O602" t="s">
        <v>1032</v>
      </c>
      <c r="P602" t="s">
        <v>1033</v>
      </c>
      <c r="T602">
        <v>10000</v>
      </c>
      <c r="U602">
        <v>10000</v>
      </c>
      <c r="V602">
        <v>10000</v>
      </c>
      <c r="W602">
        <v>10000</v>
      </c>
      <c r="X602">
        <v>6.569281515016899E-2</v>
      </c>
      <c r="Y602">
        <v>0.15091396015601968</v>
      </c>
    </row>
    <row r="603" spans="1:25" x14ac:dyDescent="0.2">
      <c r="A603" s="60" t="s">
        <v>3412</v>
      </c>
      <c r="B603" t="s">
        <v>3413</v>
      </c>
      <c r="C603" t="s">
        <v>3414</v>
      </c>
      <c r="D603" t="s">
        <v>1517</v>
      </c>
      <c r="F603">
        <v>301244</v>
      </c>
      <c r="J603">
        <v>1</v>
      </c>
      <c r="L603" t="s">
        <v>876</v>
      </c>
      <c r="M603" t="s">
        <v>876</v>
      </c>
      <c r="N603" t="s">
        <v>876</v>
      </c>
      <c r="O603" t="s">
        <v>876</v>
      </c>
      <c r="P603" t="s">
        <v>876</v>
      </c>
    </row>
    <row r="604" spans="1:25" x14ac:dyDescent="0.2">
      <c r="A604" s="60" t="s">
        <v>3415</v>
      </c>
      <c r="B604" t="s">
        <v>3416</v>
      </c>
      <c r="C604" t="s">
        <v>3417</v>
      </c>
      <c r="D604" t="s">
        <v>1375</v>
      </c>
      <c r="F604">
        <v>301245</v>
      </c>
      <c r="J604">
        <v>1</v>
      </c>
      <c r="L604" t="s">
        <v>876</v>
      </c>
      <c r="M604" t="s">
        <v>876</v>
      </c>
      <c r="N604" t="s">
        <v>876</v>
      </c>
      <c r="O604" t="s">
        <v>876</v>
      </c>
      <c r="P604" t="s">
        <v>876</v>
      </c>
    </row>
    <row r="605" spans="1:25" x14ac:dyDescent="0.2">
      <c r="A605" s="60" t="s">
        <v>3418</v>
      </c>
      <c r="B605" t="s">
        <v>3419</v>
      </c>
      <c r="C605" t="s">
        <v>3420</v>
      </c>
      <c r="D605" t="s">
        <v>866</v>
      </c>
      <c r="F605">
        <v>301246</v>
      </c>
      <c r="J605">
        <v>1</v>
      </c>
      <c r="L605" t="s">
        <v>876</v>
      </c>
      <c r="M605" t="s">
        <v>876</v>
      </c>
      <c r="N605" t="s">
        <v>876</v>
      </c>
      <c r="O605" t="s">
        <v>876</v>
      </c>
      <c r="P605" t="s">
        <v>876</v>
      </c>
    </row>
    <row r="606" spans="1:25" x14ac:dyDescent="0.2">
      <c r="A606" s="60" t="s">
        <v>3421</v>
      </c>
      <c r="B606" t="s">
        <v>3422</v>
      </c>
      <c r="C606" t="s">
        <v>3423</v>
      </c>
      <c r="D606" t="s">
        <v>1375</v>
      </c>
      <c r="F606">
        <v>301247</v>
      </c>
      <c r="J606">
        <v>1</v>
      </c>
      <c r="L606" t="s">
        <v>876</v>
      </c>
      <c r="M606" t="s">
        <v>876</v>
      </c>
      <c r="N606" t="s">
        <v>876</v>
      </c>
      <c r="O606" t="s">
        <v>876</v>
      </c>
      <c r="P606" t="s">
        <v>876</v>
      </c>
    </row>
    <row r="607" spans="1:25" x14ac:dyDescent="0.2">
      <c r="A607" s="60" t="s">
        <v>3424</v>
      </c>
      <c r="B607" t="s">
        <v>3425</v>
      </c>
      <c r="C607" t="s">
        <v>3426</v>
      </c>
      <c r="D607" t="s">
        <v>1514</v>
      </c>
      <c r="F607">
        <v>301248</v>
      </c>
      <c r="J607">
        <v>1</v>
      </c>
      <c r="L607" t="s">
        <v>876</v>
      </c>
      <c r="M607" t="s">
        <v>876</v>
      </c>
      <c r="N607" t="s">
        <v>876</v>
      </c>
      <c r="O607" t="s">
        <v>876</v>
      </c>
      <c r="P607" t="s">
        <v>876</v>
      </c>
    </row>
    <row r="608" spans="1:25" x14ac:dyDescent="0.2">
      <c r="A608" s="60" t="s">
        <v>3427</v>
      </c>
      <c r="B608" t="s">
        <v>3428</v>
      </c>
      <c r="C608" t="s">
        <v>3429</v>
      </c>
      <c r="D608" t="s">
        <v>1375</v>
      </c>
      <c r="F608">
        <v>301249</v>
      </c>
      <c r="J608">
        <v>1</v>
      </c>
      <c r="L608" t="s">
        <v>876</v>
      </c>
      <c r="M608" t="s">
        <v>876</v>
      </c>
      <c r="N608" t="s">
        <v>876</v>
      </c>
      <c r="O608" t="s">
        <v>876</v>
      </c>
      <c r="P608" t="s">
        <v>876</v>
      </c>
    </row>
    <row r="609" spans="1:16" x14ac:dyDescent="0.2">
      <c r="A609" s="60" t="s">
        <v>3430</v>
      </c>
      <c r="B609" t="s">
        <v>3431</v>
      </c>
      <c r="C609" t="s">
        <v>3432</v>
      </c>
      <c r="D609" t="s">
        <v>866</v>
      </c>
      <c r="F609">
        <v>301250</v>
      </c>
      <c r="J609">
        <v>1</v>
      </c>
      <c r="L609" t="s">
        <v>876</v>
      </c>
      <c r="M609" t="s">
        <v>876</v>
      </c>
      <c r="N609" t="s">
        <v>876</v>
      </c>
      <c r="O609" t="s">
        <v>876</v>
      </c>
      <c r="P609" t="s">
        <v>876</v>
      </c>
    </row>
    <row r="610" spans="1:16" x14ac:dyDescent="0.2">
      <c r="A610" s="60" t="s">
        <v>3433</v>
      </c>
      <c r="B610" t="s">
        <v>3434</v>
      </c>
      <c r="C610" t="s">
        <v>3435</v>
      </c>
      <c r="D610" t="s">
        <v>1517</v>
      </c>
      <c r="F610">
        <v>301251</v>
      </c>
      <c r="J610">
        <v>1</v>
      </c>
      <c r="L610" t="s">
        <v>876</v>
      </c>
      <c r="M610" t="s">
        <v>876</v>
      </c>
      <c r="N610" t="s">
        <v>876</v>
      </c>
      <c r="O610" t="s">
        <v>876</v>
      </c>
      <c r="P610" t="s">
        <v>876</v>
      </c>
    </row>
    <row r="611" spans="1:16" x14ac:dyDescent="0.2">
      <c r="A611" s="60" t="s">
        <v>3436</v>
      </c>
      <c r="B611" t="s">
        <v>3437</v>
      </c>
      <c r="C611" t="s">
        <v>3438</v>
      </c>
      <c r="D611" t="s">
        <v>1375</v>
      </c>
      <c r="F611">
        <v>301252</v>
      </c>
      <c r="J611">
        <v>1</v>
      </c>
      <c r="L611" t="s">
        <v>876</v>
      </c>
      <c r="M611" t="s">
        <v>876</v>
      </c>
      <c r="N611" t="s">
        <v>876</v>
      </c>
      <c r="O611" t="s">
        <v>876</v>
      </c>
      <c r="P611" t="s">
        <v>876</v>
      </c>
    </row>
    <row r="612" spans="1:16" x14ac:dyDescent="0.2">
      <c r="A612" s="60" t="s">
        <v>3439</v>
      </c>
      <c r="B612" t="s">
        <v>3440</v>
      </c>
      <c r="C612" t="s">
        <v>3441</v>
      </c>
      <c r="D612" t="s">
        <v>1375</v>
      </c>
      <c r="F612">
        <v>301253</v>
      </c>
      <c r="J612">
        <v>1</v>
      </c>
      <c r="L612" t="s">
        <v>876</v>
      </c>
      <c r="M612" t="s">
        <v>876</v>
      </c>
      <c r="N612" t="s">
        <v>876</v>
      </c>
      <c r="O612" t="s">
        <v>876</v>
      </c>
      <c r="P612" t="s">
        <v>876</v>
      </c>
    </row>
    <row r="613" spans="1:16" x14ac:dyDescent="0.2">
      <c r="A613" s="60" t="s">
        <v>3442</v>
      </c>
      <c r="B613" t="s">
        <v>3443</v>
      </c>
      <c r="C613" t="s">
        <v>3444</v>
      </c>
      <c r="D613" t="s">
        <v>866</v>
      </c>
      <c r="F613">
        <v>301254</v>
      </c>
      <c r="J613">
        <v>1</v>
      </c>
      <c r="L613" t="s">
        <v>876</v>
      </c>
      <c r="M613" t="s">
        <v>876</v>
      </c>
      <c r="N613" t="s">
        <v>876</v>
      </c>
      <c r="O613" t="s">
        <v>876</v>
      </c>
      <c r="P613" t="s">
        <v>876</v>
      </c>
    </row>
    <row r="614" spans="1:16" x14ac:dyDescent="0.2">
      <c r="A614" s="60" t="s">
        <v>815</v>
      </c>
      <c r="B614" t="s">
        <v>3445</v>
      </c>
      <c r="C614" t="s">
        <v>3446</v>
      </c>
      <c r="D614" t="s">
        <v>1517</v>
      </c>
      <c r="F614">
        <v>301255</v>
      </c>
      <c r="J614">
        <v>1</v>
      </c>
      <c r="L614" t="s">
        <v>876</v>
      </c>
      <c r="M614" t="s">
        <v>876</v>
      </c>
      <c r="N614" t="s">
        <v>876</v>
      </c>
      <c r="O614" t="s">
        <v>876</v>
      </c>
      <c r="P614" t="s">
        <v>876</v>
      </c>
    </row>
    <row r="615" spans="1:16" x14ac:dyDescent="0.2">
      <c r="A615" s="60" t="s">
        <v>3447</v>
      </c>
      <c r="B615" t="s">
        <v>3448</v>
      </c>
      <c r="C615" t="s">
        <v>3449</v>
      </c>
      <c r="D615" t="s">
        <v>1517</v>
      </c>
      <c r="F615">
        <v>301256</v>
      </c>
      <c r="J615">
        <v>1</v>
      </c>
      <c r="L615" t="s">
        <v>876</v>
      </c>
      <c r="M615" t="s">
        <v>876</v>
      </c>
      <c r="N615" t="s">
        <v>876</v>
      </c>
      <c r="O615" t="s">
        <v>876</v>
      </c>
      <c r="P615" t="s">
        <v>876</v>
      </c>
    </row>
    <row r="616" spans="1:16" x14ac:dyDescent="0.2">
      <c r="A616" s="60" t="s">
        <v>926</v>
      </c>
      <c r="B616" t="s">
        <v>3450</v>
      </c>
      <c r="C616" t="s">
        <v>3451</v>
      </c>
      <c r="D616" t="s">
        <v>1514</v>
      </c>
      <c r="F616">
        <v>301257</v>
      </c>
      <c r="J616">
        <v>1</v>
      </c>
      <c r="L616" t="s">
        <v>876</v>
      </c>
      <c r="M616" t="s">
        <v>876</v>
      </c>
      <c r="N616" t="s">
        <v>876</v>
      </c>
      <c r="O616" t="s">
        <v>876</v>
      </c>
      <c r="P616" t="s">
        <v>876</v>
      </c>
    </row>
    <row r="617" spans="1:16" x14ac:dyDescent="0.2">
      <c r="A617" s="60" t="s">
        <v>3452</v>
      </c>
      <c r="B617" t="s">
        <v>3453</v>
      </c>
      <c r="C617" t="s">
        <v>3454</v>
      </c>
      <c r="D617" t="s">
        <v>1375</v>
      </c>
      <c r="F617">
        <v>301258</v>
      </c>
      <c r="J617">
        <v>1</v>
      </c>
      <c r="L617" t="s">
        <v>876</v>
      </c>
      <c r="M617" t="s">
        <v>876</v>
      </c>
      <c r="N617" t="s">
        <v>876</v>
      </c>
      <c r="O617" t="s">
        <v>876</v>
      </c>
      <c r="P617" t="s">
        <v>876</v>
      </c>
    </row>
    <row r="618" spans="1:16" x14ac:dyDescent="0.2">
      <c r="A618" s="60" t="s">
        <v>3455</v>
      </c>
      <c r="B618" t="s">
        <v>3456</v>
      </c>
      <c r="C618" t="s">
        <v>3457</v>
      </c>
      <c r="D618" t="s">
        <v>866</v>
      </c>
      <c r="F618">
        <v>301259</v>
      </c>
      <c r="J618">
        <v>1</v>
      </c>
      <c r="L618" t="s">
        <v>876</v>
      </c>
      <c r="M618" t="s">
        <v>876</v>
      </c>
      <c r="N618" t="s">
        <v>876</v>
      </c>
      <c r="O618" t="s">
        <v>876</v>
      </c>
      <c r="P618" t="s">
        <v>876</v>
      </c>
    </row>
    <row r="619" spans="1:16" x14ac:dyDescent="0.2">
      <c r="A619" s="60" t="s">
        <v>674</v>
      </c>
      <c r="B619" t="s">
        <v>3458</v>
      </c>
      <c r="C619" t="s">
        <v>3459</v>
      </c>
      <c r="D619" t="s">
        <v>866</v>
      </c>
      <c r="F619">
        <v>301260</v>
      </c>
      <c r="J619">
        <v>1</v>
      </c>
      <c r="L619" t="s">
        <v>876</v>
      </c>
      <c r="M619" t="s">
        <v>876</v>
      </c>
      <c r="N619" t="s">
        <v>876</v>
      </c>
      <c r="O619" t="s">
        <v>876</v>
      </c>
      <c r="P619" t="s">
        <v>876</v>
      </c>
    </row>
    <row r="620" spans="1:16" x14ac:dyDescent="0.2">
      <c r="A620" s="60" t="s">
        <v>3460</v>
      </c>
      <c r="B620" t="s">
        <v>3461</v>
      </c>
      <c r="C620" t="s">
        <v>3462</v>
      </c>
      <c r="D620" t="s">
        <v>866</v>
      </c>
      <c r="F620">
        <v>301261</v>
      </c>
      <c r="J620">
        <v>1</v>
      </c>
      <c r="L620" t="s">
        <v>876</v>
      </c>
      <c r="M620" t="s">
        <v>876</v>
      </c>
      <c r="N620" t="s">
        <v>876</v>
      </c>
      <c r="O620" t="s">
        <v>876</v>
      </c>
      <c r="P620" t="s">
        <v>876</v>
      </c>
    </row>
    <row r="621" spans="1:16" x14ac:dyDescent="0.2">
      <c r="A621" s="60" t="s">
        <v>864</v>
      </c>
      <c r="B621" t="s">
        <v>3463</v>
      </c>
      <c r="C621" t="s">
        <v>3464</v>
      </c>
      <c r="D621" t="s">
        <v>1375</v>
      </c>
      <c r="F621">
        <v>301262</v>
      </c>
      <c r="J621">
        <v>1</v>
      </c>
      <c r="L621" t="s">
        <v>876</v>
      </c>
      <c r="M621" t="s">
        <v>876</v>
      </c>
      <c r="N621" t="s">
        <v>876</v>
      </c>
      <c r="O621" t="s">
        <v>876</v>
      </c>
      <c r="P621" t="s">
        <v>876</v>
      </c>
    </row>
    <row r="622" spans="1:16" x14ac:dyDescent="0.2">
      <c r="A622" s="60" t="s">
        <v>826</v>
      </c>
      <c r="B622" t="s">
        <v>3465</v>
      </c>
      <c r="C622" t="s">
        <v>3466</v>
      </c>
      <c r="D622" t="s">
        <v>866</v>
      </c>
      <c r="F622">
        <v>301263</v>
      </c>
      <c r="J622">
        <v>1</v>
      </c>
      <c r="L622" t="s">
        <v>876</v>
      </c>
      <c r="M622" t="s">
        <v>876</v>
      </c>
      <c r="N622" t="s">
        <v>876</v>
      </c>
      <c r="O622" t="s">
        <v>876</v>
      </c>
      <c r="P622" t="s">
        <v>876</v>
      </c>
    </row>
    <row r="623" spans="1:16" x14ac:dyDescent="0.2">
      <c r="A623" s="60" t="s">
        <v>3467</v>
      </c>
      <c r="B623" t="s">
        <v>3468</v>
      </c>
      <c r="C623" t="s">
        <v>3469</v>
      </c>
      <c r="D623" t="s">
        <v>1517</v>
      </c>
      <c r="F623">
        <v>301264</v>
      </c>
      <c r="J623">
        <v>1</v>
      </c>
      <c r="L623" t="s">
        <v>876</v>
      </c>
      <c r="M623" t="s">
        <v>876</v>
      </c>
      <c r="N623" t="s">
        <v>876</v>
      </c>
      <c r="O623" t="s">
        <v>876</v>
      </c>
      <c r="P623" t="s">
        <v>876</v>
      </c>
    </row>
    <row r="624" spans="1:16" x14ac:dyDescent="0.2">
      <c r="A624" s="60" t="s">
        <v>3470</v>
      </c>
      <c r="B624" t="s">
        <v>3471</v>
      </c>
      <c r="C624" t="s">
        <v>3472</v>
      </c>
      <c r="D624" t="s">
        <v>3473</v>
      </c>
      <c r="F624">
        <v>301265</v>
      </c>
      <c r="J624">
        <v>1</v>
      </c>
      <c r="L624" t="s">
        <v>876</v>
      </c>
      <c r="M624" t="s">
        <v>876</v>
      </c>
      <c r="N624" t="s">
        <v>876</v>
      </c>
      <c r="O624" t="s">
        <v>876</v>
      </c>
      <c r="P624" t="s">
        <v>876</v>
      </c>
    </row>
    <row r="625" spans="1:25" x14ac:dyDescent="0.2">
      <c r="A625" s="60" t="s">
        <v>3474</v>
      </c>
      <c r="B625" t="s">
        <v>3475</v>
      </c>
      <c r="C625" t="s">
        <v>3476</v>
      </c>
      <c r="D625" t="s">
        <v>866</v>
      </c>
      <c r="F625">
        <v>301266</v>
      </c>
      <c r="J625">
        <v>1</v>
      </c>
      <c r="L625" t="s">
        <v>876</v>
      </c>
      <c r="M625" t="s">
        <v>876</v>
      </c>
      <c r="N625" t="s">
        <v>876</v>
      </c>
      <c r="O625" t="s">
        <v>876</v>
      </c>
      <c r="P625" t="s">
        <v>876</v>
      </c>
    </row>
    <row r="626" spans="1:25" x14ac:dyDescent="0.2">
      <c r="A626" s="60" t="s">
        <v>3477</v>
      </c>
      <c r="B626" t="s">
        <v>3478</v>
      </c>
      <c r="C626" t="s">
        <v>3479</v>
      </c>
      <c r="D626" t="s">
        <v>1375</v>
      </c>
      <c r="F626">
        <v>301267</v>
      </c>
      <c r="J626">
        <v>1</v>
      </c>
      <c r="L626" t="s">
        <v>876</v>
      </c>
      <c r="M626" t="s">
        <v>876</v>
      </c>
      <c r="N626" t="s">
        <v>876</v>
      </c>
      <c r="O626" t="s">
        <v>876</v>
      </c>
      <c r="P626" t="s">
        <v>876</v>
      </c>
    </row>
    <row r="627" spans="1:25" x14ac:dyDescent="0.2">
      <c r="A627" s="60" t="s">
        <v>1031</v>
      </c>
      <c r="B627" t="s">
        <v>3480</v>
      </c>
      <c r="C627" t="s">
        <v>3481</v>
      </c>
      <c r="D627" t="s">
        <v>3482</v>
      </c>
      <c r="F627">
        <v>301268</v>
      </c>
      <c r="J627">
        <v>1</v>
      </c>
      <c r="L627" t="s">
        <v>876</v>
      </c>
      <c r="M627" t="s">
        <v>876</v>
      </c>
      <c r="N627" t="s">
        <v>876</v>
      </c>
      <c r="O627" t="s">
        <v>876</v>
      </c>
      <c r="P627" t="s">
        <v>876</v>
      </c>
    </row>
    <row r="628" spans="1:25" x14ac:dyDescent="0.2">
      <c r="A628" s="60" t="s">
        <v>3483</v>
      </c>
      <c r="B628" t="s">
        <v>3484</v>
      </c>
      <c r="C628" t="s">
        <v>3485</v>
      </c>
      <c r="D628" t="s">
        <v>1307</v>
      </c>
      <c r="F628">
        <v>301269</v>
      </c>
      <c r="J628">
        <v>1</v>
      </c>
      <c r="L628" t="s">
        <v>3486</v>
      </c>
      <c r="M628" t="s">
        <v>3487</v>
      </c>
      <c r="N628" t="s">
        <v>876</v>
      </c>
      <c r="O628" t="s">
        <v>1032</v>
      </c>
      <c r="P628" t="s">
        <v>1033</v>
      </c>
      <c r="T628">
        <v>10000</v>
      </c>
      <c r="U628">
        <v>0.34274338399999998</v>
      </c>
      <c r="V628">
        <v>10000</v>
      </c>
      <c r="W628">
        <v>10000</v>
      </c>
      <c r="X628">
        <v>9.3749804391728586E-2</v>
      </c>
      <c r="Y628">
        <v>0.18562752713527678</v>
      </c>
    </row>
    <row r="629" spans="1:25" x14ac:dyDescent="0.2">
      <c r="A629" s="60" t="s">
        <v>3488</v>
      </c>
      <c r="B629" t="s">
        <v>3489</v>
      </c>
      <c r="C629" t="s">
        <v>3490</v>
      </c>
      <c r="D629" t="s">
        <v>1514</v>
      </c>
      <c r="F629">
        <v>301270</v>
      </c>
      <c r="J629">
        <v>1</v>
      </c>
      <c r="L629" t="s">
        <v>876</v>
      </c>
      <c r="M629" t="s">
        <v>876</v>
      </c>
      <c r="N629" t="s">
        <v>876</v>
      </c>
      <c r="O629" t="s">
        <v>876</v>
      </c>
      <c r="P629" t="s">
        <v>876</v>
      </c>
    </row>
    <row r="630" spans="1:25" x14ac:dyDescent="0.2">
      <c r="A630" s="60" t="s">
        <v>3491</v>
      </c>
      <c r="B630" t="s">
        <v>3492</v>
      </c>
      <c r="C630" t="s">
        <v>3493</v>
      </c>
      <c r="D630" t="s">
        <v>782</v>
      </c>
      <c r="F630">
        <v>301271</v>
      </c>
      <c r="J630">
        <v>1</v>
      </c>
      <c r="L630" t="s">
        <v>876</v>
      </c>
      <c r="M630" t="s">
        <v>876</v>
      </c>
      <c r="N630" t="s">
        <v>876</v>
      </c>
      <c r="O630" t="s">
        <v>876</v>
      </c>
      <c r="P630" t="s">
        <v>876</v>
      </c>
    </row>
    <row r="631" spans="1:25" x14ac:dyDescent="0.2">
      <c r="A631" s="60" t="s">
        <v>3494</v>
      </c>
      <c r="B631" t="s">
        <v>3495</v>
      </c>
      <c r="C631" t="s">
        <v>3496</v>
      </c>
      <c r="D631" t="s">
        <v>1375</v>
      </c>
      <c r="F631">
        <v>301272</v>
      </c>
      <c r="J631">
        <v>1</v>
      </c>
      <c r="L631" t="s">
        <v>876</v>
      </c>
      <c r="M631" t="s">
        <v>876</v>
      </c>
      <c r="N631" t="s">
        <v>876</v>
      </c>
      <c r="O631" t="s">
        <v>876</v>
      </c>
      <c r="P631" t="s">
        <v>876</v>
      </c>
    </row>
    <row r="632" spans="1:25" x14ac:dyDescent="0.2">
      <c r="A632" s="60" t="s">
        <v>3497</v>
      </c>
      <c r="B632" t="s">
        <v>3498</v>
      </c>
      <c r="C632" t="s">
        <v>3499</v>
      </c>
      <c r="D632" t="s">
        <v>1307</v>
      </c>
      <c r="F632">
        <v>301273</v>
      </c>
      <c r="J632">
        <v>1</v>
      </c>
      <c r="L632" t="s">
        <v>3500</v>
      </c>
      <c r="M632" t="s">
        <v>3501</v>
      </c>
      <c r="N632" t="s">
        <v>876</v>
      </c>
      <c r="O632" t="s">
        <v>1032</v>
      </c>
      <c r="P632" t="s">
        <v>1033</v>
      </c>
      <c r="T632">
        <v>4.252062499</v>
      </c>
      <c r="U632">
        <v>27.573441849999998</v>
      </c>
      <c r="V632">
        <v>5.4998809209846948</v>
      </c>
      <c r="W632">
        <v>105.5349506723166</v>
      </c>
      <c r="X632">
        <v>0.27345452792162622</v>
      </c>
      <c r="Y632">
        <v>0.24741209443615816</v>
      </c>
    </row>
    <row r="633" spans="1:25" x14ac:dyDescent="0.2">
      <c r="A633" s="60" t="s">
        <v>3502</v>
      </c>
      <c r="B633" t="s">
        <v>3503</v>
      </c>
      <c r="C633" t="s">
        <v>3504</v>
      </c>
      <c r="D633" t="s">
        <v>1517</v>
      </c>
      <c r="F633">
        <v>301274</v>
      </c>
      <c r="J633">
        <v>1</v>
      </c>
      <c r="L633" t="s">
        <v>876</v>
      </c>
      <c r="M633" t="s">
        <v>876</v>
      </c>
      <c r="N633" t="s">
        <v>876</v>
      </c>
      <c r="O633" t="s">
        <v>876</v>
      </c>
      <c r="P633" t="s">
        <v>876</v>
      </c>
    </row>
    <row r="634" spans="1:25" x14ac:dyDescent="0.2">
      <c r="A634" s="60" t="s">
        <v>3505</v>
      </c>
      <c r="B634" t="s">
        <v>3506</v>
      </c>
      <c r="C634" t="s">
        <v>3507</v>
      </c>
      <c r="D634" t="s">
        <v>1375</v>
      </c>
      <c r="F634">
        <v>301275</v>
      </c>
      <c r="J634">
        <v>1</v>
      </c>
      <c r="L634" t="s">
        <v>876</v>
      </c>
      <c r="M634" t="s">
        <v>876</v>
      </c>
      <c r="N634" t="s">
        <v>876</v>
      </c>
      <c r="O634" t="s">
        <v>876</v>
      </c>
      <c r="P634" t="s">
        <v>876</v>
      </c>
    </row>
    <row r="635" spans="1:25" x14ac:dyDescent="0.2">
      <c r="A635" s="60" t="s">
        <v>3508</v>
      </c>
      <c r="B635" t="s">
        <v>3509</v>
      </c>
      <c r="C635" t="s">
        <v>3510</v>
      </c>
      <c r="D635" t="s">
        <v>1517</v>
      </c>
      <c r="F635">
        <v>301276</v>
      </c>
      <c r="J635">
        <v>1</v>
      </c>
      <c r="L635" t="s">
        <v>876</v>
      </c>
      <c r="M635" t="s">
        <v>876</v>
      </c>
      <c r="N635" t="s">
        <v>876</v>
      </c>
      <c r="O635" t="s">
        <v>876</v>
      </c>
      <c r="P635" t="s">
        <v>876</v>
      </c>
    </row>
    <row r="636" spans="1:25" x14ac:dyDescent="0.2">
      <c r="A636" s="60" t="s">
        <v>3511</v>
      </c>
      <c r="B636" t="s">
        <v>3512</v>
      </c>
      <c r="C636" t="s">
        <v>3513</v>
      </c>
      <c r="D636" t="s">
        <v>1318</v>
      </c>
      <c r="F636">
        <v>301277</v>
      </c>
      <c r="J636">
        <v>1</v>
      </c>
      <c r="L636" t="s">
        <v>3514</v>
      </c>
      <c r="M636" t="s">
        <v>3515</v>
      </c>
      <c r="N636" t="s">
        <v>876</v>
      </c>
      <c r="O636" t="s">
        <v>1032</v>
      </c>
      <c r="P636" t="s">
        <v>1033</v>
      </c>
      <c r="Q636">
        <v>1</v>
      </c>
      <c r="S636">
        <v>1</v>
      </c>
      <c r="T636">
        <v>61.999411559999999</v>
      </c>
      <c r="U636">
        <v>0.66712571600000004</v>
      </c>
      <c r="V636">
        <v>69.588097201497661</v>
      </c>
      <c r="W636">
        <v>10000</v>
      </c>
      <c r="X636">
        <v>0.14317425887279062</v>
      </c>
      <c r="Y636">
        <v>0.23828791266492994</v>
      </c>
    </row>
    <row r="637" spans="1:25" x14ac:dyDescent="0.2">
      <c r="A637" s="60" t="s">
        <v>3516</v>
      </c>
      <c r="B637" t="s">
        <v>3517</v>
      </c>
      <c r="C637" t="s">
        <v>3518</v>
      </c>
      <c r="D637" t="s">
        <v>1517</v>
      </c>
      <c r="F637">
        <v>301278</v>
      </c>
      <c r="J637">
        <v>1</v>
      </c>
      <c r="L637" t="s">
        <v>876</v>
      </c>
      <c r="M637" t="s">
        <v>876</v>
      </c>
      <c r="N637" t="s">
        <v>876</v>
      </c>
      <c r="O637" t="s">
        <v>876</v>
      </c>
      <c r="P637" t="s">
        <v>876</v>
      </c>
    </row>
    <row r="638" spans="1:25" x14ac:dyDescent="0.2">
      <c r="A638" s="60" t="s">
        <v>3519</v>
      </c>
      <c r="B638" t="s">
        <v>3520</v>
      </c>
      <c r="C638" t="s">
        <v>3521</v>
      </c>
      <c r="D638" t="s">
        <v>1517</v>
      </c>
      <c r="F638">
        <v>301279</v>
      </c>
      <c r="J638">
        <v>1</v>
      </c>
      <c r="L638" t="s">
        <v>876</v>
      </c>
      <c r="M638" t="s">
        <v>876</v>
      </c>
      <c r="N638" t="s">
        <v>876</v>
      </c>
      <c r="O638" t="s">
        <v>876</v>
      </c>
      <c r="P638" t="s">
        <v>876</v>
      </c>
    </row>
    <row r="639" spans="1:25" x14ac:dyDescent="0.2">
      <c r="A639" s="60" t="s">
        <v>3522</v>
      </c>
      <c r="B639" t="s">
        <v>3523</v>
      </c>
      <c r="C639" t="s">
        <v>3524</v>
      </c>
      <c r="D639" t="s">
        <v>866</v>
      </c>
      <c r="F639">
        <v>301280</v>
      </c>
      <c r="J639">
        <v>1</v>
      </c>
      <c r="L639" t="s">
        <v>876</v>
      </c>
      <c r="M639" t="s">
        <v>876</v>
      </c>
      <c r="N639" t="s">
        <v>876</v>
      </c>
      <c r="O639" t="s">
        <v>876</v>
      </c>
      <c r="P639" t="s">
        <v>876</v>
      </c>
    </row>
    <row r="640" spans="1:25" x14ac:dyDescent="0.2">
      <c r="A640" s="60" t="s">
        <v>3525</v>
      </c>
      <c r="B640" t="s">
        <v>3526</v>
      </c>
      <c r="C640" t="s">
        <v>3527</v>
      </c>
      <c r="D640" t="s">
        <v>1517</v>
      </c>
      <c r="F640">
        <v>301281</v>
      </c>
      <c r="J640">
        <v>1</v>
      </c>
      <c r="L640" t="s">
        <v>876</v>
      </c>
      <c r="M640" t="s">
        <v>876</v>
      </c>
      <c r="N640" t="s">
        <v>876</v>
      </c>
      <c r="O640" t="s">
        <v>876</v>
      </c>
      <c r="P640" t="s">
        <v>876</v>
      </c>
    </row>
    <row r="641" spans="1:25" x14ac:dyDescent="0.2">
      <c r="A641" s="60" t="s">
        <v>3528</v>
      </c>
      <c r="B641" t="s">
        <v>3529</v>
      </c>
      <c r="C641" t="s">
        <v>3530</v>
      </c>
      <c r="D641" t="s">
        <v>1375</v>
      </c>
      <c r="F641">
        <v>301282</v>
      </c>
      <c r="J641">
        <v>1</v>
      </c>
      <c r="L641" t="s">
        <v>876</v>
      </c>
      <c r="M641" t="s">
        <v>876</v>
      </c>
      <c r="N641" t="s">
        <v>876</v>
      </c>
      <c r="O641" t="s">
        <v>876</v>
      </c>
      <c r="P641" t="s">
        <v>876</v>
      </c>
    </row>
    <row r="642" spans="1:25" x14ac:dyDescent="0.2">
      <c r="A642" s="60" t="s">
        <v>3531</v>
      </c>
      <c r="B642" t="s">
        <v>3532</v>
      </c>
      <c r="C642" t="s">
        <v>3533</v>
      </c>
      <c r="D642" t="s">
        <v>866</v>
      </c>
      <c r="F642">
        <v>301283</v>
      </c>
      <c r="J642">
        <v>1</v>
      </c>
      <c r="L642" t="s">
        <v>876</v>
      </c>
      <c r="M642" t="s">
        <v>876</v>
      </c>
      <c r="N642" t="s">
        <v>876</v>
      </c>
      <c r="O642" t="s">
        <v>876</v>
      </c>
      <c r="P642" t="s">
        <v>876</v>
      </c>
      <c r="R642">
        <v>1</v>
      </c>
    </row>
    <row r="643" spans="1:25" x14ac:dyDescent="0.2">
      <c r="A643" s="60" t="s">
        <v>3534</v>
      </c>
      <c r="B643" t="s">
        <v>3535</v>
      </c>
      <c r="C643" t="s">
        <v>3536</v>
      </c>
      <c r="D643" t="s">
        <v>866</v>
      </c>
      <c r="F643">
        <v>301284</v>
      </c>
      <c r="J643">
        <v>1</v>
      </c>
      <c r="L643" t="s">
        <v>876</v>
      </c>
      <c r="M643" t="s">
        <v>876</v>
      </c>
      <c r="N643" t="s">
        <v>876</v>
      </c>
      <c r="O643" t="s">
        <v>876</v>
      </c>
      <c r="P643" t="s">
        <v>876</v>
      </c>
    </row>
    <row r="644" spans="1:25" x14ac:dyDescent="0.2">
      <c r="A644" s="60" t="s">
        <v>3537</v>
      </c>
      <c r="B644" t="s">
        <v>3538</v>
      </c>
      <c r="C644" t="s">
        <v>3539</v>
      </c>
      <c r="D644" t="s">
        <v>1517</v>
      </c>
      <c r="F644">
        <v>301285</v>
      </c>
      <c r="J644">
        <v>1</v>
      </c>
      <c r="L644" t="s">
        <v>876</v>
      </c>
      <c r="M644" t="s">
        <v>876</v>
      </c>
      <c r="N644" t="s">
        <v>876</v>
      </c>
      <c r="O644" t="s">
        <v>876</v>
      </c>
      <c r="P644" t="s">
        <v>876</v>
      </c>
    </row>
    <row r="645" spans="1:25" x14ac:dyDescent="0.2">
      <c r="A645" s="60" t="s">
        <v>1026</v>
      </c>
      <c r="B645" t="s">
        <v>3540</v>
      </c>
      <c r="C645" t="s">
        <v>3541</v>
      </c>
      <c r="D645" t="s">
        <v>1375</v>
      </c>
      <c r="F645">
        <v>301286</v>
      </c>
      <c r="J645">
        <v>1</v>
      </c>
      <c r="L645" t="s">
        <v>876</v>
      </c>
      <c r="M645" t="s">
        <v>876</v>
      </c>
      <c r="N645" t="s">
        <v>876</v>
      </c>
      <c r="O645" t="s">
        <v>876</v>
      </c>
      <c r="P645" t="s">
        <v>876</v>
      </c>
    </row>
    <row r="646" spans="1:25" x14ac:dyDescent="0.2">
      <c r="A646" s="60" t="s">
        <v>857</v>
      </c>
      <c r="B646" t="s">
        <v>3542</v>
      </c>
      <c r="C646" t="s">
        <v>3543</v>
      </c>
      <c r="D646" t="s">
        <v>866</v>
      </c>
      <c r="F646">
        <v>301287</v>
      </c>
      <c r="J646">
        <v>1</v>
      </c>
      <c r="L646" t="s">
        <v>876</v>
      </c>
      <c r="M646" t="s">
        <v>876</v>
      </c>
      <c r="N646" t="s">
        <v>876</v>
      </c>
      <c r="O646" t="s">
        <v>876</v>
      </c>
      <c r="P646" t="s">
        <v>876</v>
      </c>
    </row>
    <row r="647" spans="1:25" x14ac:dyDescent="0.2">
      <c r="A647" s="60" t="s">
        <v>998</v>
      </c>
      <c r="B647" t="s">
        <v>3544</v>
      </c>
      <c r="C647" t="s">
        <v>3545</v>
      </c>
      <c r="D647" t="s">
        <v>1318</v>
      </c>
      <c r="F647">
        <v>301288</v>
      </c>
      <c r="J647">
        <v>1</v>
      </c>
      <c r="L647" t="s">
        <v>3546</v>
      </c>
      <c r="M647" t="s">
        <v>3547</v>
      </c>
      <c r="N647" t="s">
        <v>876</v>
      </c>
      <c r="O647" t="s">
        <v>1032</v>
      </c>
      <c r="P647" t="s">
        <v>1033</v>
      </c>
      <c r="T647">
        <v>61.39028484</v>
      </c>
      <c r="U647">
        <v>52.940144770000003</v>
      </c>
      <c r="V647">
        <v>68.907999550655717</v>
      </c>
      <c r="W647">
        <v>76.734090831244487</v>
      </c>
      <c r="X647">
        <v>0.114500293459514</v>
      </c>
      <c r="Y647">
        <v>0.19260272567028963</v>
      </c>
    </row>
    <row r="648" spans="1:25" x14ac:dyDescent="0.2">
      <c r="A648" s="60" t="s">
        <v>3548</v>
      </c>
      <c r="B648" t="s">
        <v>3549</v>
      </c>
      <c r="C648" t="s">
        <v>3550</v>
      </c>
      <c r="D648" t="s">
        <v>1375</v>
      </c>
      <c r="F648">
        <v>301289</v>
      </c>
      <c r="J648">
        <v>1</v>
      </c>
      <c r="L648" t="s">
        <v>876</v>
      </c>
      <c r="M648" t="s">
        <v>876</v>
      </c>
      <c r="N648" t="s">
        <v>876</v>
      </c>
      <c r="O648" t="s">
        <v>876</v>
      </c>
      <c r="P648" t="s">
        <v>876</v>
      </c>
    </row>
    <row r="649" spans="1:25" x14ac:dyDescent="0.2">
      <c r="A649" s="60" t="s">
        <v>3551</v>
      </c>
      <c r="B649" t="s">
        <v>3552</v>
      </c>
      <c r="C649" t="s">
        <v>3553</v>
      </c>
      <c r="D649" t="s">
        <v>866</v>
      </c>
      <c r="F649">
        <v>301290</v>
      </c>
      <c r="J649">
        <v>1</v>
      </c>
      <c r="L649" t="s">
        <v>876</v>
      </c>
      <c r="M649" t="s">
        <v>876</v>
      </c>
      <c r="N649" t="s">
        <v>876</v>
      </c>
      <c r="O649" t="s">
        <v>876</v>
      </c>
      <c r="P649" t="s">
        <v>876</v>
      </c>
    </row>
    <row r="650" spans="1:25" x14ac:dyDescent="0.2">
      <c r="A650" s="60" t="s">
        <v>3554</v>
      </c>
      <c r="B650" t="s">
        <v>3555</v>
      </c>
      <c r="C650" t="s">
        <v>3556</v>
      </c>
      <c r="D650" t="s">
        <v>1375</v>
      </c>
      <c r="F650">
        <v>301291</v>
      </c>
      <c r="J650">
        <v>1</v>
      </c>
      <c r="L650" t="s">
        <v>876</v>
      </c>
      <c r="M650" t="s">
        <v>876</v>
      </c>
      <c r="N650" t="s">
        <v>876</v>
      </c>
      <c r="O650" t="s">
        <v>876</v>
      </c>
      <c r="P650" t="s">
        <v>876</v>
      </c>
    </row>
    <row r="651" spans="1:25" x14ac:dyDescent="0.2">
      <c r="A651" s="60" t="s">
        <v>3557</v>
      </c>
      <c r="B651" t="s">
        <v>3558</v>
      </c>
      <c r="C651" t="s">
        <v>3559</v>
      </c>
      <c r="D651" t="s">
        <v>1318</v>
      </c>
      <c r="F651">
        <v>301292</v>
      </c>
      <c r="J651">
        <v>1</v>
      </c>
      <c r="L651" t="s">
        <v>3560</v>
      </c>
      <c r="M651" t="s">
        <v>3561</v>
      </c>
      <c r="N651" t="s">
        <v>876</v>
      </c>
      <c r="O651" t="s">
        <v>1032</v>
      </c>
      <c r="P651" t="s">
        <v>1033</v>
      </c>
      <c r="T651">
        <v>10000</v>
      </c>
      <c r="U651">
        <v>6.1685394809999998</v>
      </c>
      <c r="V651">
        <v>10000</v>
      </c>
      <c r="W651">
        <v>16.609045322583857</v>
      </c>
      <c r="X651">
        <v>0.15324776058650677</v>
      </c>
      <c r="Y651">
        <v>0.77356048789559662</v>
      </c>
    </row>
    <row r="652" spans="1:25" x14ac:dyDescent="0.2">
      <c r="A652" s="60" t="s">
        <v>3562</v>
      </c>
      <c r="B652" t="s">
        <v>3563</v>
      </c>
      <c r="C652" t="s">
        <v>3564</v>
      </c>
      <c r="D652" t="s">
        <v>1375</v>
      </c>
      <c r="F652">
        <v>301293</v>
      </c>
      <c r="J652">
        <v>1</v>
      </c>
      <c r="L652" t="s">
        <v>876</v>
      </c>
      <c r="M652" t="s">
        <v>876</v>
      </c>
      <c r="N652" t="s">
        <v>876</v>
      </c>
      <c r="O652" t="s">
        <v>876</v>
      </c>
      <c r="P652" t="s">
        <v>876</v>
      </c>
    </row>
    <row r="653" spans="1:25" x14ac:dyDescent="0.2">
      <c r="A653" s="60" t="s">
        <v>3565</v>
      </c>
      <c r="B653" t="s">
        <v>3566</v>
      </c>
      <c r="C653" t="s">
        <v>3567</v>
      </c>
      <c r="D653" t="s">
        <v>1375</v>
      </c>
      <c r="F653">
        <v>301294</v>
      </c>
      <c r="J653">
        <v>1</v>
      </c>
      <c r="L653" t="s">
        <v>876</v>
      </c>
      <c r="M653" t="s">
        <v>876</v>
      </c>
      <c r="N653" t="s">
        <v>876</v>
      </c>
      <c r="O653" t="s">
        <v>876</v>
      </c>
      <c r="P653" t="s">
        <v>876</v>
      </c>
    </row>
    <row r="654" spans="1:25" x14ac:dyDescent="0.2">
      <c r="A654" s="60" t="s">
        <v>3568</v>
      </c>
      <c r="B654" t="s">
        <v>3569</v>
      </c>
      <c r="C654" t="s">
        <v>3570</v>
      </c>
      <c r="D654" t="s">
        <v>1297</v>
      </c>
      <c r="F654">
        <v>301295</v>
      </c>
      <c r="J654">
        <v>1</v>
      </c>
      <c r="L654" t="s">
        <v>3571</v>
      </c>
      <c r="M654" t="s">
        <v>3572</v>
      </c>
      <c r="N654" t="s">
        <v>876</v>
      </c>
      <c r="O654" t="s">
        <v>1032</v>
      </c>
      <c r="P654" t="s">
        <v>1033</v>
      </c>
      <c r="T654">
        <v>10000</v>
      </c>
      <c r="U654">
        <v>10000</v>
      </c>
      <c r="V654">
        <v>10000</v>
      </c>
      <c r="W654">
        <v>10000</v>
      </c>
      <c r="X654">
        <v>0.13020833260901996</v>
      </c>
      <c r="Y654">
        <v>0.15624999327785943</v>
      </c>
    </row>
    <row r="655" spans="1:25" x14ac:dyDescent="0.2">
      <c r="A655" s="60" t="s">
        <v>3573</v>
      </c>
      <c r="B655" t="s">
        <v>3574</v>
      </c>
      <c r="C655" t="s">
        <v>3575</v>
      </c>
      <c r="D655" t="s">
        <v>1514</v>
      </c>
      <c r="F655">
        <v>301296</v>
      </c>
      <c r="J655">
        <v>1</v>
      </c>
      <c r="L655" t="s">
        <v>876</v>
      </c>
      <c r="M655" t="s">
        <v>876</v>
      </c>
      <c r="N655" t="s">
        <v>876</v>
      </c>
      <c r="O655" t="s">
        <v>876</v>
      </c>
      <c r="P655" t="s">
        <v>876</v>
      </c>
    </row>
    <row r="656" spans="1:25" x14ac:dyDescent="0.2">
      <c r="A656" s="60" t="s">
        <v>3576</v>
      </c>
      <c r="B656" t="s">
        <v>3577</v>
      </c>
      <c r="C656" t="s">
        <v>3578</v>
      </c>
      <c r="D656" t="s">
        <v>1297</v>
      </c>
      <c r="F656">
        <v>301297</v>
      </c>
      <c r="J656">
        <v>1</v>
      </c>
      <c r="L656" t="s">
        <v>3579</v>
      </c>
      <c r="M656" t="s">
        <v>3580</v>
      </c>
      <c r="N656" t="s">
        <v>876</v>
      </c>
      <c r="O656" t="s">
        <v>1032</v>
      </c>
      <c r="P656" t="s">
        <v>1033</v>
      </c>
      <c r="T656">
        <v>68.049041250000002</v>
      </c>
      <c r="U656">
        <v>65.230921280000004</v>
      </c>
      <c r="V656">
        <v>76.059695292827541</v>
      </c>
      <c r="W656">
        <v>73.040710730750817</v>
      </c>
      <c r="X656">
        <v>7.0662041511342671E-2</v>
      </c>
      <c r="Y656">
        <v>9.8588768881029118E-2</v>
      </c>
    </row>
    <row r="657" spans="1:25" x14ac:dyDescent="0.2">
      <c r="A657" s="60" t="s">
        <v>3581</v>
      </c>
      <c r="B657" t="s">
        <v>3582</v>
      </c>
      <c r="C657" t="s">
        <v>3583</v>
      </c>
      <c r="D657" t="s">
        <v>866</v>
      </c>
      <c r="F657">
        <v>301298</v>
      </c>
      <c r="J657">
        <v>1</v>
      </c>
      <c r="L657" t="s">
        <v>876</v>
      </c>
      <c r="M657" t="s">
        <v>876</v>
      </c>
      <c r="N657" t="s">
        <v>876</v>
      </c>
      <c r="O657" t="s">
        <v>876</v>
      </c>
      <c r="P657" t="s">
        <v>876</v>
      </c>
    </row>
    <row r="658" spans="1:25" x14ac:dyDescent="0.2">
      <c r="A658" s="60" t="s">
        <v>3584</v>
      </c>
      <c r="B658" t="s">
        <v>3585</v>
      </c>
      <c r="C658" t="s">
        <v>3586</v>
      </c>
      <c r="D658" t="s">
        <v>866</v>
      </c>
      <c r="F658">
        <v>301299</v>
      </c>
      <c r="J658">
        <v>1</v>
      </c>
      <c r="L658" t="s">
        <v>876</v>
      </c>
      <c r="M658" t="s">
        <v>876</v>
      </c>
      <c r="N658" t="s">
        <v>876</v>
      </c>
      <c r="O658" t="s">
        <v>876</v>
      </c>
      <c r="P658" t="s">
        <v>876</v>
      </c>
    </row>
    <row r="659" spans="1:25" x14ac:dyDescent="0.2">
      <c r="A659" s="60" t="s">
        <v>3587</v>
      </c>
      <c r="B659" t="s">
        <v>3588</v>
      </c>
      <c r="C659" t="s">
        <v>3589</v>
      </c>
      <c r="D659" t="s">
        <v>1318</v>
      </c>
      <c r="F659">
        <v>301300</v>
      </c>
      <c r="J659">
        <v>1</v>
      </c>
      <c r="L659" t="s">
        <v>3590</v>
      </c>
      <c r="M659" t="s">
        <v>3591</v>
      </c>
      <c r="N659" t="s">
        <v>876</v>
      </c>
      <c r="O659" t="s">
        <v>1032</v>
      </c>
      <c r="P659" t="s">
        <v>1033</v>
      </c>
      <c r="T659">
        <v>62.236464679999997</v>
      </c>
      <c r="U659">
        <v>56.297041909999997</v>
      </c>
      <c r="V659">
        <v>70.108687624102458</v>
      </c>
      <c r="W659">
        <v>128.88511521535381</v>
      </c>
      <c r="X659">
        <v>0.22874531457678379</v>
      </c>
      <c r="Y659">
        <v>0.28542676258657462</v>
      </c>
    </row>
    <row r="660" spans="1:25" x14ac:dyDescent="0.2">
      <c r="A660" s="60" t="s">
        <v>3592</v>
      </c>
      <c r="B660" t="s">
        <v>3593</v>
      </c>
      <c r="C660" t="s">
        <v>3594</v>
      </c>
      <c r="D660" t="s">
        <v>866</v>
      </c>
      <c r="F660">
        <v>301301</v>
      </c>
      <c r="J660">
        <v>1</v>
      </c>
      <c r="L660" t="s">
        <v>876</v>
      </c>
      <c r="M660" t="s">
        <v>876</v>
      </c>
      <c r="N660" t="s">
        <v>876</v>
      </c>
      <c r="O660" t="s">
        <v>876</v>
      </c>
      <c r="P660" t="s">
        <v>876</v>
      </c>
    </row>
    <row r="661" spans="1:25" x14ac:dyDescent="0.2">
      <c r="A661" s="60" t="s">
        <v>3595</v>
      </c>
      <c r="B661" t="s">
        <v>3596</v>
      </c>
      <c r="C661" t="s">
        <v>3597</v>
      </c>
      <c r="D661" t="s">
        <v>3598</v>
      </c>
      <c r="F661">
        <v>301302</v>
      </c>
      <c r="J661">
        <v>1</v>
      </c>
      <c r="L661" t="s">
        <v>876</v>
      </c>
      <c r="M661" t="s">
        <v>876</v>
      </c>
      <c r="N661" t="s">
        <v>876</v>
      </c>
      <c r="O661" t="s">
        <v>876</v>
      </c>
      <c r="P661" t="s">
        <v>876</v>
      </c>
    </row>
    <row r="662" spans="1:25" x14ac:dyDescent="0.2">
      <c r="A662" s="60" t="s">
        <v>3599</v>
      </c>
      <c r="B662" t="s">
        <v>3600</v>
      </c>
      <c r="C662" t="s">
        <v>3601</v>
      </c>
      <c r="D662" t="s">
        <v>1297</v>
      </c>
      <c r="F662">
        <v>301303</v>
      </c>
      <c r="J662">
        <v>1</v>
      </c>
      <c r="L662" t="s">
        <v>3602</v>
      </c>
      <c r="M662" t="s">
        <v>3603</v>
      </c>
      <c r="N662" t="s">
        <v>876</v>
      </c>
      <c r="O662" t="s">
        <v>1032</v>
      </c>
      <c r="P662" t="s">
        <v>1033</v>
      </c>
      <c r="T662" t="s">
        <v>0</v>
      </c>
      <c r="U662">
        <v>3.8306402959999999</v>
      </c>
      <c r="V662" t="s">
        <v>0</v>
      </c>
      <c r="W662">
        <v>10000</v>
      </c>
      <c r="X662">
        <v>0.14690288091678119</v>
      </c>
      <c r="Y662">
        <v>0.28731297630635355</v>
      </c>
    </row>
    <row r="663" spans="1:25" x14ac:dyDescent="0.2">
      <c r="A663" s="60" t="s">
        <v>3604</v>
      </c>
      <c r="B663" t="s">
        <v>3605</v>
      </c>
      <c r="C663" t="s">
        <v>3606</v>
      </c>
      <c r="D663" t="s">
        <v>1318</v>
      </c>
      <c r="F663">
        <v>301304</v>
      </c>
      <c r="J663">
        <v>1</v>
      </c>
      <c r="L663" t="s">
        <v>3607</v>
      </c>
      <c r="M663" t="s">
        <v>3608</v>
      </c>
      <c r="N663" t="s">
        <v>876</v>
      </c>
      <c r="O663" t="s">
        <v>1032</v>
      </c>
      <c r="P663" t="s">
        <v>1033</v>
      </c>
      <c r="R663">
        <v>1</v>
      </c>
      <c r="T663" t="s">
        <v>0</v>
      </c>
      <c r="U663" t="s">
        <v>0</v>
      </c>
      <c r="V663" t="s">
        <v>0</v>
      </c>
      <c r="W663" t="s">
        <v>0</v>
      </c>
      <c r="X663">
        <v>0.23560208869872176</v>
      </c>
      <c r="Y663">
        <v>0.27225130246577212</v>
      </c>
    </row>
    <row r="664" spans="1:25" x14ac:dyDescent="0.2">
      <c r="A664" s="60" t="s">
        <v>3609</v>
      </c>
      <c r="B664" t="s">
        <v>3610</v>
      </c>
      <c r="C664" t="s">
        <v>3611</v>
      </c>
      <c r="D664" t="s">
        <v>1375</v>
      </c>
      <c r="F664">
        <v>301305</v>
      </c>
      <c r="J664">
        <v>1</v>
      </c>
      <c r="L664" t="s">
        <v>876</v>
      </c>
      <c r="M664" t="s">
        <v>876</v>
      </c>
      <c r="N664" t="s">
        <v>876</v>
      </c>
      <c r="O664" t="s">
        <v>876</v>
      </c>
      <c r="P664" t="s">
        <v>876</v>
      </c>
    </row>
    <row r="665" spans="1:25" x14ac:dyDescent="0.2">
      <c r="A665" s="60" t="s">
        <v>3612</v>
      </c>
      <c r="B665" t="s">
        <v>3613</v>
      </c>
      <c r="C665" t="s">
        <v>3614</v>
      </c>
      <c r="D665" t="s">
        <v>1307</v>
      </c>
      <c r="F665">
        <v>301306</v>
      </c>
      <c r="J665">
        <v>1</v>
      </c>
      <c r="L665" t="s">
        <v>3615</v>
      </c>
      <c r="M665" t="s">
        <v>3616</v>
      </c>
      <c r="N665" t="s">
        <v>876</v>
      </c>
      <c r="O665" t="s">
        <v>1032</v>
      </c>
      <c r="P665" t="s">
        <v>1033</v>
      </c>
      <c r="T665">
        <v>10000</v>
      </c>
      <c r="U665">
        <v>15.77413848</v>
      </c>
      <c r="V665">
        <v>10000</v>
      </c>
      <c r="W665">
        <v>19.758433801790822</v>
      </c>
      <c r="X665">
        <v>0.22012526817026876</v>
      </c>
      <c r="Y665">
        <v>0.75326103168968683</v>
      </c>
    </row>
    <row r="666" spans="1:25" x14ac:dyDescent="0.2">
      <c r="A666" s="60" t="s">
        <v>928</v>
      </c>
      <c r="B666" t="s">
        <v>3617</v>
      </c>
      <c r="C666" t="s">
        <v>3618</v>
      </c>
      <c r="D666" t="s">
        <v>1303</v>
      </c>
      <c r="F666">
        <v>301307</v>
      </c>
      <c r="J666">
        <v>1</v>
      </c>
      <c r="L666" t="s">
        <v>876</v>
      </c>
      <c r="M666" t="s">
        <v>876</v>
      </c>
      <c r="N666" t="s">
        <v>876</v>
      </c>
      <c r="O666" t="s">
        <v>876</v>
      </c>
      <c r="P666" t="s">
        <v>876</v>
      </c>
    </row>
    <row r="667" spans="1:25" x14ac:dyDescent="0.2">
      <c r="A667" s="60" t="s">
        <v>3619</v>
      </c>
      <c r="B667" t="s">
        <v>3620</v>
      </c>
      <c r="C667" t="s">
        <v>3621</v>
      </c>
      <c r="D667" t="s">
        <v>1375</v>
      </c>
      <c r="F667">
        <v>301308</v>
      </c>
      <c r="J667">
        <v>1</v>
      </c>
      <c r="L667" t="s">
        <v>876</v>
      </c>
      <c r="M667" t="s">
        <v>876</v>
      </c>
      <c r="N667" t="s">
        <v>876</v>
      </c>
      <c r="O667" t="s">
        <v>876</v>
      </c>
      <c r="P667" t="s">
        <v>876</v>
      </c>
    </row>
    <row r="668" spans="1:25" x14ac:dyDescent="0.2">
      <c r="A668" s="60" t="s">
        <v>3622</v>
      </c>
      <c r="B668" t="s">
        <v>3623</v>
      </c>
      <c r="C668" t="s">
        <v>3624</v>
      </c>
      <c r="D668" t="s">
        <v>1514</v>
      </c>
      <c r="F668">
        <v>301309</v>
      </c>
      <c r="J668">
        <v>1</v>
      </c>
      <c r="L668" t="s">
        <v>876</v>
      </c>
      <c r="M668" t="s">
        <v>876</v>
      </c>
      <c r="N668" t="s">
        <v>876</v>
      </c>
      <c r="O668" t="s">
        <v>876</v>
      </c>
      <c r="P668" t="s">
        <v>876</v>
      </c>
    </row>
    <row r="669" spans="1:25" x14ac:dyDescent="0.2">
      <c r="A669" s="60" t="s">
        <v>3625</v>
      </c>
      <c r="B669" t="s">
        <v>3626</v>
      </c>
      <c r="C669" t="s">
        <v>3627</v>
      </c>
      <c r="D669" t="s">
        <v>1318</v>
      </c>
      <c r="F669">
        <v>301310</v>
      </c>
      <c r="J669">
        <v>1</v>
      </c>
      <c r="L669" t="s">
        <v>3628</v>
      </c>
      <c r="M669" t="s">
        <v>2306</v>
      </c>
      <c r="N669" t="s">
        <v>876</v>
      </c>
      <c r="O669" t="s">
        <v>1032</v>
      </c>
      <c r="P669" t="s">
        <v>1033</v>
      </c>
      <c r="T669">
        <v>0.12016676799999999</v>
      </c>
      <c r="U669">
        <v>0.45729786700000002</v>
      </c>
      <c r="V669">
        <v>0.54443670007635714</v>
      </c>
      <c r="W669">
        <v>0.52534441211334004</v>
      </c>
      <c r="X669">
        <v>0.98750970910673264</v>
      </c>
      <c r="Y669">
        <v>0.99222156959678431</v>
      </c>
    </row>
    <row r="670" spans="1:25" x14ac:dyDescent="0.2">
      <c r="A670" s="60" t="s">
        <v>3629</v>
      </c>
      <c r="B670" t="s">
        <v>3630</v>
      </c>
      <c r="C670" t="s">
        <v>3631</v>
      </c>
      <c r="D670" t="s">
        <v>866</v>
      </c>
      <c r="F670">
        <v>301311</v>
      </c>
      <c r="J670">
        <v>1</v>
      </c>
      <c r="L670" t="s">
        <v>876</v>
      </c>
      <c r="M670" t="s">
        <v>876</v>
      </c>
      <c r="N670" t="s">
        <v>876</v>
      </c>
      <c r="O670" t="s">
        <v>876</v>
      </c>
      <c r="P670" t="s">
        <v>876</v>
      </c>
    </row>
    <row r="671" spans="1:25" x14ac:dyDescent="0.2">
      <c r="A671" s="60" t="s">
        <v>800</v>
      </c>
      <c r="B671" t="s">
        <v>3632</v>
      </c>
      <c r="C671" t="s">
        <v>3633</v>
      </c>
      <c r="D671" t="s">
        <v>866</v>
      </c>
      <c r="F671">
        <v>301312</v>
      </c>
      <c r="J671">
        <v>1</v>
      </c>
      <c r="L671" t="s">
        <v>876</v>
      </c>
      <c r="M671" t="s">
        <v>876</v>
      </c>
      <c r="N671" t="s">
        <v>876</v>
      </c>
      <c r="O671" t="s">
        <v>876</v>
      </c>
      <c r="P671" t="s">
        <v>876</v>
      </c>
    </row>
    <row r="672" spans="1:25" x14ac:dyDescent="0.2">
      <c r="A672" s="60" t="s">
        <v>803</v>
      </c>
      <c r="B672" t="s">
        <v>3634</v>
      </c>
      <c r="C672" t="s">
        <v>3635</v>
      </c>
      <c r="D672" t="s">
        <v>1303</v>
      </c>
      <c r="F672">
        <v>301313</v>
      </c>
      <c r="J672">
        <v>1</v>
      </c>
      <c r="L672" t="s">
        <v>876</v>
      </c>
      <c r="M672" t="s">
        <v>876</v>
      </c>
      <c r="N672" t="s">
        <v>876</v>
      </c>
      <c r="O672" t="s">
        <v>876</v>
      </c>
      <c r="P672" t="s">
        <v>876</v>
      </c>
    </row>
    <row r="673" spans="1:25" x14ac:dyDescent="0.2">
      <c r="A673" s="60" t="s">
        <v>3636</v>
      </c>
      <c r="B673" t="s">
        <v>3637</v>
      </c>
      <c r="C673" t="s">
        <v>3638</v>
      </c>
      <c r="D673" t="s">
        <v>1307</v>
      </c>
      <c r="F673">
        <v>301314</v>
      </c>
      <c r="J673">
        <v>1</v>
      </c>
      <c r="L673" t="s">
        <v>3639</v>
      </c>
      <c r="M673" t="s">
        <v>3640</v>
      </c>
      <c r="N673" t="s">
        <v>876</v>
      </c>
      <c r="O673" t="s">
        <v>1032</v>
      </c>
      <c r="P673" t="s">
        <v>1033</v>
      </c>
      <c r="T673">
        <v>16.951307709999998</v>
      </c>
      <c r="U673">
        <v>2.6522718009999999</v>
      </c>
      <c r="V673">
        <v>10000</v>
      </c>
      <c r="W673">
        <v>10000</v>
      </c>
      <c r="X673">
        <v>0.18901152158256126</v>
      </c>
      <c r="Y673">
        <v>0.30443940604308117</v>
      </c>
    </row>
    <row r="674" spans="1:25" x14ac:dyDescent="0.2">
      <c r="A674" s="60" t="s">
        <v>3641</v>
      </c>
      <c r="B674" t="s">
        <v>3642</v>
      </c>
      <c r="C674" t="s">
        <v>3643</v>
      </c>
      <c r="D674" t="s">
        <v>1394</v>
      </c>
      <c r="F674">
        <v>301315</v>
      </c>
      <c r="J674">
        <v>1</v>
      </c>
      <c r="L674" t="s">
        <v>3644</v>
      </c>
      <c r="M674" t="s">
        <v>3645</v>
      </c>
      <c r="N674" t="s">
        <v>876</v>
      </c>
      <c r="O674" t="s">
        <v>1032</v>
      </c>
      <c r="P674" t="s">
        <v>1033</v>
      </c>
      <c r="T674">
        <v>10000</v>
      </c>
      <c r="U674">
        <v>10000</v>
      </c>
      <c r="V674">
        <v>10000</v>
      </c>
      <c r="W674">
        <v>10000</v>
      </c>
      <c r="X674">
        <v>6.9194908297239496E-2</v>
      </c>
      <c r="Y674">
        <v>7.6907892173004005E-2</v>
      </c>
    </row>
    <row r="675" spans="1:25" x14ac:dyDescent="0.2">
      <c r="A675" s="60" t="s">
        <v>3646</v>
      </c>
      <c r="B675" t="s">
        <v>3647</v>
      </c>
      <c r="C675" t="s">
        <v>3648</v>
      </c>
      <c r="D675" t="s">
        <v>1318</v>
      </c>
      <c r="F675">
        <v>301316</v>
      </c>
      <c r="J675">
        <v>1</v>
      </c>
      <c r="L675" t="s">
        <v>3649</v>
      </c>
      <c r="M675" t="s">
        <v>3650</v>
      </c>
      <c r="N675" t="s">
        <v>876</v>
      </c>
      <c r="O675" t="s">
        <v>1032</v>
      </c>
      <c r="P675" t="s">
        <v>1033</v>
      </c>
      <c r="T675">
        <v>9.9999999999999995E-7</v>
      </c>
      <c r="U675">
        <v>4.8489859999999996E-3</v>
      </c>
      <c r="V675">
        <v>10000</v>
      </c>
      <c r="W675">
        <v>10000</v>
      </c>
      <c r="X675">
        <v>0.15852782087281855</v>
      </c>
      <c r="Y675">
        <v>0.18192516127909134</v>
      </c>
    </row>
    <row r="676" spans="1:25" x14ac:dyDescent="0.2">
      <c r="A676" s="60" t="s">
        <v>3651</v>
      </c>
      <c r="B676" t="s">
        <v>3652</v>
      </c>
      <c r="C676" t="s">
        <v>3653</v>
      </c>
      <c r="D676" t="s">
        <v>1375</v>
      </c>
      <c r="F676">
        <v>301317</v>
      </c>
      <c r="J676">
        <v>1</v>
      </c>
      <c r="L676" t="s">
        <v>876</v>
      </c>
      <c r="M676" t="s">
        <v>876</v>
      </c>
      <c r="N676" t="s">
        <v>876</v>
      </c>
      <c r="O676" t="s">
        <v>876</v>
      </c>
      <c r="P676" t="s">
        <v>876</v>
      </c>
    </row>
    <row r="677" spans="1:25" x14ac:dyDescent="0.2">
      <c r="A677" s="60" t="s">
        <v>3654</v>
      </c>
      <c r="B677" t="s">
        <v>3655</v>
      </c>
      <c r="C677" t="s">
        <v>3656</v>
      </c>
      <c r="D677" t="s">
        <v>1517</v>
      </c>
      <c r="F677">
        <v>301318</v>
      </c>
      <c r="J677">
        <v>1</v>
      </c>
      <c r="L677" t="s">
        <v>876</v>
      </c>
      <c r="M677" t="s">
        <v>876</v>
      </c>
      <c r="N677" t="s">
        <v>876</v>
      </c>
      <c r="O677" t="s">
        <v>876</v>
      </c>
      <c r="P677" t="s">
        <v>876</v>
      </c>
    </row>
    <row r="678" spans="1:25" x14ac:dyDescent="0.2">
      <c r="A678" s="60" t="s">
        <v>3657</v>
      </c>
      <c r="B678" t="s">
        <v>3658</v>
      </c>
      <c r="C678" t="s">
        <v>3659</v>
      </c>
      <c r="D678" t="s">
        <v>1297</v>
      </c>
      <c r="F678">
        <v>301319</v>
      </c>
      <c r="J678">
        <v>1</v>
      </c>
      <c r="L678" t="s">
        <v>3660</v>
      </c>
      <c r="M678" t="s">
        <v>3661</v>
      </c>
      <c r="N678" t="s">
        <v>876</v>
      </c>
      <c r="O678" t="s">
        <v>1032</v>
      </c>
      <c r="P678" t="s">
        <v>1033</v>
      </c>
      <c r="T678">
        <v>8.5897559319999992</v>
      </c>
      <c r="U678">
        <v>6.0361708360000002</v>
      </c>
      <c r="V678">
        <v>42.028180950966977</v>
      </c>
      <c r="W678">
        <v>6.8011481706962318</v>
      </c>
      <c r="X678">
        <v>0.48016198767539531</v>
      </c>
      <c r="Y678">
        <v>0.880541165764958</v>
      </c>
    </row>
    <row r="679" spans="1:25" x14ac:dyDescent="0.2">
      <c r="A679" s="60" t="s">
        <v>3662</v>
      </c>
      <c r="B679" t="s">
        <v>3663</v>
      </c>
      <c r="C679" t="s">
        <v>3664</v>
      </c>
      <c r="D679" t="s">
        <v>1517</v>
      </c>
      <c r="F679">
        <v>301320</v>
      </c>
      <c r="J679">
        <v>1</v>
      </c>
      <c r="L679" t="s">
        <v>876</v>
      </c>
      <c r="M679" t="s">
        <v>876</v>
      </c>
      <c r="N679" t="s">
        <v>876</v>
      </c>
      <c r="O679" t="s">
        <v>876</v>
      </c>
      <c r="P679" t="s">
        <v>876</v>
      </c>
    </row>
    <row r="680" spans="1:25" x14ac:dyDescent="0.2">
      <c r="A680" s="60" t="s">
        <v>3665</v>
      </c>
      <c r="B680" t="s">
        <v>3666</v>
      </c>
      <c r="C680" t="s">
        <v>3667</v>
      </c>
      <c r="D680" t="s">
        <v>1517</v>
      </c>
      <c r="F680">
        <v>301321</v>
      </c>
      <c r="J680">
        <v>1</v>
      </c>
      <c r="L680" t="s">
        <v>876</v>
      </c>
      <c r="M680" t="s">
        <v>876</v>
      </c>
      <c r="N680" t="s">
        <v>876</v>
      </c>
      <c r="O680" t="s">
        <v>876</v>
      </c>
      <c r="P680" t="s">
        <v>876</v>
      </c>
    </row>
    <row r="681" spans="1:25" x14ac:dyDescent="0.2">
      <c r="A681" s="60" t="s">
        <v>3668</v>
      </c>
      <c r="B681" t="s">
        <v>3669</v>
      </c>
      <c r="C681" t="s">
        <v>3670</v>
      </c>
      <c r="D681" t="s">
        <v>1318</v>
      </c>
      <c r="F681">
        <v>301322</v>
      </c>
      <c r="J681">
        <v>1</v>
      </c>
      <c r="L681" t="s">
        <v>3671</v>
      </c>
      <c r="M681" t="s">
        <v>3672</v>
      </c>
      <c r="N681" t="s">
        <v>876</v>
      </c>
      <c r="O681" t="s">
        <v>1032</v>
      </c>
      <c r="P681" t="s">
        <v>1033</v>
      </c>
      <c r="T681">
        <v>6.30397389</v>
      </c>
      <c r="U681">
        <v>3.7743544839999998</v>
      </c>
      <c r="V681">
        <v>8.1662660253545862</v>
      </c>
      <c r="W681">
        <v>4.7184907596231236</v>
      </c>
      <c r="X681">
        <v>0.86591810904347066</v>
      </c>
      <c r="Y681">
        <v>0.93104836080767783</v>
      </c>
    </row>
    <row r="682" spans="1:25" x14ac:dyDescent="0.2">
      <c r="A682" s="60" t="s">
        <v>3673</v>
      </c>
      <c r="B682" t="s">
        <v>3674</v>
      </c>
      <c r="C682" t="s">
        <v>3675</v>
      </c>
      <c r="D682" t="s">
        <v>1318</v>
      </c>
      <c r="F682">
        <v>301323</v>
      </c>
      <c r="J682">
        <v>1</v>
      </c>
      <c r="L682" t="s">
        <v>3676</v>
      </c>
      <c r="M682" t="s">
        <v>3677</v>
      </c>
      <c r="N682" t="s">
        <v>876</v>
      </c>
      <c r="O682" t="s">
        <v>1032</v>
      </c>
      <c r="P682" t="s">
        <v>1033</v>
      </c>
      <c r="T682">
        <v>4.2068341299999998</v>
      </c>
      <c r="U682">
        <v>4.5375299939999998</v>
      </c>
      <c r="V682">
        <v>219.4584920585892</v>
      </c>
      <c r="W682">
        <v>28.859569601479013</v>
      </c>
      <c r="X682">
        <v>0.33069136083176776</v>
      </c>
      <c r="Y682">
        <v>0.52242677440605656</v>
      </c>
    </row>
    <row r="683" spans="1:25" x14ac:dyDescent="0.2">
      <c r="A683" s="60" t="s">
        <v>3678</v>
      </c>
      <c r="B683" t="s">
        <v>3679</v>
      </c>
      <c r="C683" t="s">
        <v>3680</v>
      </c>
      <c r="D683" t="s">
        <v>1303</v>
      </c>
      <c r="F683">
        <v>301324</v>
      </c>
      <c r="J683">
        <v>1</v>
      </c>
      <c r="L683" t="s">
        <v>876</v>
      </c>
      <c r="M683" t="s">
        <v>876</v>
      </c>
      <c r="N683" t="s">
        <v>876</v>
      </c>
      <c r="O683" t="s">
        <v>876</v>
      </c>
      <c r="P683" t="s">
        <v>876</v>
      </c>
    </row>
    <row r="684" spans="1:25" x14ac:dyDescent="0.2">
      <c r="A684" s="60" t="s">
        <v>3681</v>
      </c>
      <c r="B684" t="s">
        <v>3682</v>
      </c>
      <c r="C684" t="s">
        <v>3683</v>
      </c>
      <c r="D684" t="s">
        <v>1297</v>
      </c>
      <c r="F684">
        <v>301325</v>
      </c>
      <c r="J684">
        <v>1</v>
      </c>
      <c r="L684" t="s">
        <v>3684</v>
      </c>
      <c r="M684" t="s">
        <v>3685</v>
      </c>
      <c r="N684" t="s">
        <v>876</v>
      </c>
      <c r="O684" t="s">
        <v>1032</v>
      </c>
      <c r="P684" t="s">
        <v>1033</v>
      </c>
      <c r="T684">
        <v>10000</v>
      </c>
      <c r="U684">
        <v>10000</v>
      </c>
      <c r="V684">
        <v>10000</v>
      </c>
      <c r="W684">
        <v>10000</v>
      </c>
      <c r="X684">
        <v>0.12500491729151864</v>
      </c>
      <c r="Y684">
        <v>0.18145655716037121</v>
      </c>
    </row>
    <row r="685" spans="1:25" x14ac:dyDescent="0.2">
      <c r="A685" s="60" t="s">
        <v>3686</v>
      </c>
      <c r="B685" t="s">
        <v>3687</v>
      </c>
      <c r="C685" t="s">
        <v>3688</v>
      </c>
      <c r="D685" t="s">
        <v>866</v>
      </c>
      <c r="F685">
        <v>301326</v>
      </c>
      <c r="J685">
        <v>1</v>
      </c>
      <c r="L685" t="s">
        <v>876</v>
      </c>
      <c r="M685" t="s">
        <v>876</v>
      </c>
      <c r="N685" t="s">
        <v>876</v>
      </c>
      <c r="O685" t="s">
        <v>876</v>
      </c>
      <c r="P685" t="s">
        <v>876</v>
      </c>
    </row>
    <row r="686" spans="1:25" x14ac:dyDescent="0.2">
      <c r="A686" s="60" t="s">
        <v>3689</v>
      </c>
      <c r="B686" t="s">
        <v>3690</v>
      </c>
      <c r="C686" t="s">
        <v>3691</v>
      </c>
      <c r="D686" t="s">
        <v>1307</v>
      </c>
      <c r="F686">
        <v>301327</v>
      </c>
      <c r="J686">
        <v>1</v>
      </c>
      <c r="L686" t="s">
        <v>3692</v>
      </c>
      <c r="M686" t="s">
        <v>3693</v>
      </c>
      <c r="N686" t="s">
        <v>876</v>
      </c>
      <c r="O686" t="s">
        <v>1032</v>
      </c>
      <c r="P686" t="s">
        <v>1033</v>
      </c>
      <c r="T686" t="s">
        <v>0</v>
      </c>
      <c r="U686">
        <v>6.8865853860000001</v>
      </c>
      <c r="V686" t="s">
        <v>0</v>
      </c>
      <c r="W686">
        <v>248.16633033492982</v>
      </c>
      <c r="X686">
        <v>0.16145832725727977</v>
      </c>
      <c r="Y686">
        <v>0.42580942362412338</v>
      </c>
    </row>
    <row r="687" spans="1:25" x14ac:dyDescent="0.2">
      <c r="A687" s="60" t="s">
        <v>3694</v>
      </c>
      <c r="B687" t="s">
        <v>3695</v>
      </c>
      <c r="C687" t="s">
        <v>3696</v>
      </c>
      <c r="D687" t="s">
        <v>1517</v>
      </c>
      <c r="F687">
        <v>301328</v>
      </c>
      <c r="J687">
        <v>1</v>
      </c>
      <c r="L687" t="s">
        <v>876</v>
      </c>
      <c r="M687" t="s">
        <v>876</v>
      </c>
      <c r="N687" t="s">
        <v>876</v>
      </c>
      <c r="O687" t="s">
        <v>876</v>
      </c>
      <c r="P687" t="s">
        <v>876</v>
      </c>
    </row>
    <row r="688" spans="1:25" x14ac:dyDescent="0.2">
      <c r="A688" s="60" t="s">
        <v>3697</v>
      </c>
      <c r="B688" t="s">
        <v>3698</v>
      </c>
      <c r="C688" t="s">
        <v>3699</v>
      </c>
      <c r="D688" t="s">
        <v>866</v>
      </c>
      <c r="F688">
        <v>301329</v>
      </c>
      <c r="J688">
        <v>1</v>
      </c>
      <c r="L688" t="s">
        <v>876</v>
      </c>
      <c r="M688" t="s">
        <v>876</v>
      </c>
      <c r="N688" t="s">
        <v>876</v>
      </c>
      <c r="O688" t="s">
        <v>876</v>
      </c>
      <c r="P688" t="s">
        <v>876</v>
      </c>
    </row>
    <row r="689" spans="1:25" x14ac:dyDescent="0.2">
      <c r="A689" s="60" t="s">
        <v>3700</v>
      </c>
      <c r="B689" t="s">
        <v>3701</v>
      </c>
      <c r="C689" t="s">
        <v>3702</v>
      </c>
      <c r="D689" t="s">
        <v>866</v>
      </c>
      <c r="F689">
        <v>301330</v>
      </c>
      <c r="J689">
        <v>1</v>
      </c>
      <c r="L689" t="s">
        <v>876</v>
      </c>
      <c r="M689" t="s">
        <v>876</v>
      </c>
      <c r="N689" t="s">
        <v>876</v>
      </c>
      <c r="O689" t="s">
        <v>876</v>
      </c>
      <c r="P689" t="s">
        <v>876</v>
      </c>
    </row>
    <row r="690" spans="1:25" x14ac:dyDescent="0.2">
      <c r="A690" s="60" t="s">
        <v>3703</v>
      </c>
      <c r="B690" t="s">
        <v>3704</v>
      </c>
      <c r="C690" t="s">
        <v>3705</v>
      </c>
      <c r="D690" t="s">
        <v>1517</v>
      </c>
      <c r="F690">
        <v>301331</v>
      </c>
      <c r="J690">
        <v>1</v>
      </c>
      <c r="L690" t="s">
        <v>876</v>
      </c>
      <c r="M690" t="s">
        <v>876</v>
      </c>
      <c r="N690" t="s">
        <v>876</v>
      </c>
      <c r="O690" t="s">
        <v>876</v>
      </c>
      <c r="P690" t="s">
        <v>876</v>
      </c>
    </row>
    <row r="691" spans="1:25" x14ac:dyDescent="0.2">
      <c r="A691" s="60" t="s">
        <v>3706</v>
      </c>
      <c r="B691" t="s">
        <v>3707</v>
      </c>
      <c r="C691" t="s">
        <v>3708</v>
      </c>
      <c r="D691" t="s">
        <v>866</v>
      </c>
      <c r="F691">
        <v>301332</v>
      </c>
      <c r="J691">
        <v>1</v>
      </c>
      <c r="L691" t="s">
        <v>876</v>
      </c>
      <c r="M691" t="s">
        <v>876</v>
      </c>
      <c r="N691" t="s">
        <v>876</v>
      </c>
      <c r="O691" t="s">
        <v>876</v>
      </c>
      <c r="P691" t="s">
        <v>876</v>
      </c>
    </row>
    <row r="692" spans="1:25" x14ac:dyDescent="0.2">
      <c r="A692" s="60" t="s">
        <v>3709</v>
      </c>
      <c r="B692" t="s">
        <v>3710</v>
      </c>
      <c r="C692" t="s">
        <v>3711</v>
      </c>
      <c r="D692" t="s">
        <v>1517</v>
      </c>
      <c r="F692">
        <v>301333</v>
      </c>
      <c r="J692">
        <v>1</v>
      </c>
      <c r="L692" t="s">
        <v>876</v>
      </c>
      <c r="M692" t="s">
        <v>876</v>
      </c>
      <c r="N692" t="s">
        <v>876</v>
      </c>
      <c r="O692" t="s">
        <v>876</v>
      </c>
      <c r="P692" t="s">
        <v>876</v>
      </c>
    </row>
    <row r="693" spans="1:25" x14ac:dyDescent="0.2">
      <c r="A693" s="60" t="s">
        <v>999</v>
      </c>
      <c r="B693" t="s">
        <v>3712</v>
      </c>
      <c r="C693" t="s">
        <v>3713</v>
      </c>
      <c r="D693" t="s">
        <v>1297</v>
      </c>
      <c r="F693">
        <v>301334</v>
      </c>
      <c r="J693">
        <v>1</v>
      </c>
      <c r="L693" t="s">
        <v>3714</v>
      </c>
      <c r="M693" t="s">
        <v>3715</v>
      </c>
      <c r="N693" t="s">
        <v>876</v>
      </c>
      <c r="O693" t="s">
        <v>1032</v>
      </c>
      <c r="P693" t="s">
        <v>1033</v>
      </c>
      <c r="T693">
        <v>71.071615690000002</v>
      </c>
      <c r="U693">
        <v>10000</v>
      </c>
      <c r="V693">
        <v>79.310627532160993</v>
      </c>
      <c r="W693">
        <v>10000</v>
      </c>
      <c r="X693">
        <v>0.27547455776172303</v>
      </c>
      <c r="Y693">
        <v>0.30729166138293196</v>
      </c>
    </row>
    <row r="694" spans="1:25" x14ac:dyDescent="0.2">
      <c r="A694" s="60" t="s">
        <v>1000</v>
      </c>
      <c r="B694" t="s">
        <v>3716</v>
      </c>
      <c r="C694" t="s">
        <v>3717</v>
      </c>
      <c r="D694" t="s">
        <v>1318</v>
      </c>
      <c r="F694">
        <v>301335</v>
      </c>
      <c r="J694">
        <v>1</v>
      </c>
      <c r="L694" t="s">
        <v>3718</v>
      </c>
      <c r="M694" t="s">
        <v>3719</v>
      </c>
      <c r="N694" t="s">
        <v>876</v>
      </c>
      <c r="O694" t="s">
        <v>1032</v>
      </c>
      <c r="P694" t="s">
        <v>1033</v>
      </c>
      <c r="T694" t="s">
        <v>0</v>
      </c>
      <c r="U694">
        <v>5.8996563719999999</v>
      </c>
      <c r="V694" t="s">
        <v>0</v>
      </c>
      <c r="W694">
        <v>7.5990820868224667</v>
      </c>
      <c r="X694">
        <v>0.25916909595519805</v>
      </c>
      <c r="Y694">
        <v>0.8712913882986052</v>
      </c>
    </row>
    <row r="695" spans="1:25" x14ac:dyDescent="0.2">
      <c r="A695" s="60" t="s">
        <v>1001</v>
      </c>
      <c r="B695" t="s">
        <v>3720</v>
      </c>
      <c r="C695" t="s">
        <v>3721</v>
      </c>
      <c r="D695" t="s">
        <v>1517</v>
      </c>
      <c r="F695">
        <v>301336</v>
      </c>
      <c r="J695">
        <v>1</v>
      </c>
      <c r="L695" t="s">
        <v>876</v>
      </c>
      <c r="M695" t="s">
        <v>876</v>
      </c>
      <c r="N695" t="s">
        <v>876</v>
      </c>
      <c r="O695" t="s">
        <v>876</v>
      </c>
      <c r="P695" t="s">
        <v>876</v>
      </c>
    </row>
    <row r="696" spans="1:25" x14ac:dyDescent="0.2">
      <c r="A696" s="60" t="s">
        <v>821</v>
      </c>
      <c r="B696" t="s">
        <v>3722</v>
      </c>
      <c r="C696" t="s">
        <v>3723</v>
      </c>
      <c r="D696" t="s">
        <v>1517</v>
      </c>
      <c r="F696">
        <v>301337</v>
      </c>
      <c r="J696">
        <v>1</v>
      </c>
      <c r="L696" t="s">
        <v>876</v>
      </c>
      <c r="M696" t="s">
        <v>876</v>
      </c>
      <c r="N696" t="s">
        <v>876</v>
      </c>
      <c r="O696" t="s">
        <v>876</v>
      </c>
      <c r="P696" t="s">
        <v>876</v>
      </c>
    </row>
    <row r="697" spans="1:25" x14ac:dyDescent="0.2">
      <c r="A697" s="60" t="s">
        <v>3724</v>
      </c>
      <c r="B697" t="s">
        <v>3725</v>
      </c>
      <c r="C697" t="s">
        <v>3726</v>
      </c>
      <c r="D697" t="s">
        <v>1517</v>
      </c>
      <c r="F697">
        <v>301338</v>
      </c>
      <c r="J697">
        <v>1</v>
      </c>
      <c r="L697" t="s">
        <v>876</v>
      </c>
      <c r="M697" t="s">
        <v>876</v>
      </c>
      <c r="N697" t="s">
        <v>876</v>
      </c>
      <c r="O697" t="s">
        <v>876</v>
      </c>
      <c r="P697" t="s">
        <v>876</v>
      </c>
    </row>
    <row r="698" spans="1:25" x14ac:dyDescent="0.2">
      <c r="A698" s="60" t="s">
        <v>1092</v>
      </c>
      <c r="B698" t="s">
        <v>3727</v>
      </c>
      <c r="C698" t="s">
        <v>3728</v>
      </c>
      <c r="D698" t="s">
        <v>1375</v>
      </c>
      <c r="F698">
        <v>301339</v>
      </c>
      <c r="J698">
        <v>1</v>
      </c>
      <c r="L698" t="s">
        <v>876</v>
      </c>
      <c r="M698" t="s">
        <v>876</v>
      </c>
      <c r="N698" t="s">
        <v>876</v>
      </c>
      <c r="O698" t="s">
        <v>876</v>
      </c>
      <c r="P698" t="s">
        <v>876</v>
      </c>
    </row>
    <row r="699" spans="1:25" x14ac:dyDescent="0.2">
      <c r="A699" s="60" t="s">
        <v>3729</v>
      </c>
      <c r="B699" t="s">
        <v>3730</v>
      </c>
      <c r="C699" t="s">
        <v>3731</v>
      </c>
      <c r="D699" t="s">
        <v>1514</v>
      </c>
      <c r="F699">
        <v>301340</v>
      </c>
      <c r="J699">
        <v>1</v>
      </c>
      <c r="L699" t="s">
        <v>876</v>
      </c>
      <c r="M699" t="s">
        <v>876</v>
      </c>
      <c r="N699" t="s">
        <v>876</v>
      </c>
      <c r="O699" t="s">
        <v>876</v>
      </c>
      <c r="P699" t="s">
        <v>876</v>
      </c>
    </row>
    <row r="700" spans="1:25" x14ac:dyDescent="0.2">
      <c r="A700" s="60" t="s">
        <v>766</v>
      </c>
      <c r="B700" t="s">
        <v>3732</v>
      </c>
      <c r="C700" t="s">
        <v>3733</v>
      </c>
      <c r="D700" t="s">
        <v>866</v>
      </c>
      <c r="F700">
        <v>301341</v>
      </c>
      <c r="J700">
        <v>1</v>
      </c>
      <c r="L700" t="s">
        <v>876</v>
      </c>
      <c r="M700" t="s">
        <v>876</v>
      </c>
      <c r="N700" t="s">
        <v>876</v>
      </c>
      <c r="O700" t="s">
        <v>876</v>
      </c>
      <c r="P700" t="s">
        <v>876</v>
      </c>
    </row>
    <row r="701" spans="1:25" x14ac:dyDescent="0.2">
      <c r="A701" s="60" t="s">
        <v>842</v>
      </c>
      <c r="B701" t="s">
        <v>3734</v>
      </c>
      <c r="C701" t="s">
        <v>3735</v>
      </c>
      <c r="D701" t="s">
        <v>1307</v>
      </c>
      <c r="F701">
        <v>301342</v>
      </c>
      <c r="J701">
        <v>1</v>
      </c>
      <c r="L701" t="s">
        <v>3736</v>
      </c>
      <c r="M701" t="s">
        <v>3737</v>
      </c>
      <c r="N701" t="s">
        <v>876</v>
      </c>
      <c r="O701" t="s">
        <v>1032</v>
      </c>
      <c r="P701" t="s">
        <v>1033</v>
      </c>
      <c r="T701">
        <v>10000</v>
      </c>
      <c r="U701">
        <v>652.59921670000006</v>
      </c>
      <c r="V701">
        <v>10000</v>
      </c>
      <c r="W701">
        <v>10000</v>
      </c>
      <c r="X701">
        <v>0.11192680682994563</v>
      </c>
      <c r="Y701">
        <v>0.18761127840724615</v>
      </c>
    </row>
    <row r="702" spans="1:25" x14ac:dyDescent="0.2">
      <c r="A702" s="60" t="s">
        <v>844</v>
      </c>
      <c r="B702" t="s">
        <v>3738</v>
      </c>
      <c r="C702" t="s">
        <v>3739</v>
      </c>
      <c r="D702" t="s">
        <v>1517</v>
      </c>
      <c r="F702">
        <v>301344</v>
      </c>
      <c r="J702">
        <v>1</v>
      </c>
      <c r="L702" t="s">
        <v>876</v>
      </c>
      <c r="M702" t="s">
        <v>876</v>
      </c>
      <c r="N702" t="s">
        <v>876</v>
      </c>
      <c r="O702" t="s">
        <v>876</v>
      </c>
      <c r="P702" t="s">
        <v>876</v>
      </c>
    </row>
    <row r="703" spans="1:25" x14ac:dyDescent="0.2">
      <c r="A703" s="60" t="s">
        <v>932</v>
      </c>
      <c r="B703" t="s">
        <v>3740</v>
      </c>
      <c r="C703" t="s">
        <v>3741</v>
      </c>
      <c r="D703" t="s">
        <v>1375</v>
      </c>
      <c r="F703">
        <v>301345</v>
      </c>
      <c r="J703">
        <v>1</v>
      </c>
      <c r="L703" t="s">
        <v>876</v>
      </c>
      <c r="M703" t="s">
        <v>876</v>
      </c>
      <c r="N703" t="s">
        <v>876</v>
      </c>
      <c r="O703" t="s">
        <v>876</v>
      </c>
      <c r="P703" t="s">
        <v>876</v>
      </c>
    </row>
    <row r="704" spans="1:25" x14ac:dyDescent="0.2">
      <c r="A704" s="60" t="s">
        <v>3742</v>
      </c>
      <c r="B704" t="s">
        <v>3743</v>
      </c>
      <c r="C704" t="s">
        <v>3744</v>
      </c>
      <c r="D704" t="s">
        <v>1318</v>
      </c>
      <c r="F704">
        <v>301346</v>
      </c>
      <c r="J704">
        <v>1</v>
      </c>
      <c r="L704" t="s">
        <v>3745</v>
      </c>
      <c r="M704" t="s">
        <v>3746</v>
      </c>
      <c r="N704" t="s">
        <v>876</v>
      </c>
      <c r="O704" t="s">
        <v>1032</v>
      </c>
      <c r="P704" t="s">
        <v>1033</v>
      </c>
      <c r="T704">
        <v>10000</v>
      </c>
      <c r="U704">
        <v>6.2353392149999998</v>
      </c>
      <c r="V704">
        <v>10000</v>
      </c>
      <c r="W704">
        <v>7.0158490574641679</v>
      </c>
      <c r="X704">
        <v>0.10416665927683613</v>
      </c>
      <c r="Y704">
        <v>0.86199553290502828</v>
      </c>
    </row>
    <row r="705" spans="1:25" x14ac:dyDescent="0.2">
      <c r="A705" s="60" t="s">
        <v>3747</v>
      </c>
      <c r="B705" t="s">
        <v>3748</v>
      </c>
      <c r="C705" t="s">
        <v>3749</v>
      </c>
      <c r="D705" t="s">
        <v>866</v>
      </c>
      <c r="F705">
        <v>301347</v>
      </c>
      <c r="J705">
        <v>1</v>
      </c>
      <c r="L705" t="s">
        <v>876</v>
      </c>
      <c r="M705" t="s">
        <v>876</v>
      </c>
      <c r="N705" t="s">
        <v>876</v>
      </c>
      <c r="O705" t="s">
        <v>876</v>
      </c>
      <c r="P705" t="s">
        <v>876</v>
      </c>
    </row>
    <row r="706" spans="1:25" x14ac:dyDescent="0.2">
      <c r="A706" s="60" t="s">
        <v>3750</v>
      </c>
      <c r="B706" t="s">
        <v>3751</v>
      </c>
      <c r="C706" t="s">
        <v>3752</v>
      </c>
      <c r="D706" t="s">
        <v>1514</v>
      </c>
      <c r="F706">
        <v>301348</v>
      </c>
      <c r="J706">
        <v>1</v>
      </c>
      <c r="L706" t="s">
        <v>876</v>
      </c>
      <c r="M706" t="s">
        <v>876</v>
      </c>
      <c r="N706" t="s">
        <v>876</v>
      </c>
      <c r="O706" t="s">
        <v>876</v>
      </c>
      <c r="P706" t="s">
        <v>876</v>
      </c>
    </row>
    <row r="707" spans="1:25" x14ac:dyDescent="0.2">
      <c r="A707" s="60" t="s">
        <v>3753</v>
      </c>
      <c r="B707" t="s">
        <v>3754</v>
      </c>
      <c r="C707" t="s">
        <v>3755</v>
      </c>
      <c r="D707" t="s">
        <v>866</v>
      </c>
      <c r="F707">
        <v>301349</v>
      </c>
      <c r="J707">
        <v>1</v>
      </c>
      <c r="L707" t="s">
        <v>876</v>
      </c>
      <c r="M707" t="s">
        <v>876</v>
      </c>
      <c r="N707" t="s">
        <v>876</v>
      </c>
      <c r="O707" t="s">
        <v>876</v>
      </c>
      <c r="P707" t="s">
        <v>876</v>
      </c>
    </row>
    <row r="708" spans="1:25" x14ac:dyDescent="0.2">
      <c r="A708" s="60" t="s">
        <v>3756</v>
      </c>
      <c r="B708" t="s">
        <v>3757</v>
      </c>
      <c r="C708" t="s">
        <v>3758</v>
      </c>
      <c r="D708" t="s">
        <v>1517</v>
      </c>
      <c r="F708">
        <v>301350</v>
      </c>
      <c r="J708">
        <v>1</v>
      </c>
      <c r="L708" t="s">
        <v>876</v>
      </c>
      <c r="M708" t="s">
        <v>876</v>
      </c>
      <c r="N708" t="s">
        <v>876</v>
      </c>
      <c r="O708" t="s">
        <v>876</v>
      </c>
      <c r="P708" t="s">
        <v>876</v>
      </c>
    </row>
    <row r="709" spans="1:25" x14ac:dyDescent="0.2">
      <c r="A709" s="60" t="s">
        <v>3759</v>
      </c>
      <c r="B709" t="s">
        <v>3760</v>
      </c>
      <c r="C709" t="s">
        <v>3761</v>
      </c>
      <c r="D709" t="s">
        <v>866</v>
      </c>
      <c r="F709">
        <v>301351</v>
      </c>
      <c r="J709">
        <v>1</v>
      </c>
      <c r="L709" t="s">
        <v>876</v>
      </c>
      <c r="M709" t="s">
        <v>876</v>
      </c>
      <c r="N709" t="s">
        <v>876</v>
      </c>
      <c r="O709" t="s">
        <v>876</v>
      </c>
      <c r="P709" t="s">
        <v>876</v>
      </c>
    </row>
    <row r="710" spans="1:25" x14ac:dyDescent="0.2">
      <c r="A710" s="60" t="s">
        <v>3762</v>
      </c>
      <c r="B710" t="s">
        <v>3763</v>
      </c>
      <c r="C710" t="s">
        <v>3764</v>
      </c>
      <c r="D710" t="s">
        <v>1303</v>
      </c>
      <c r="F710">
        <v>301352</v>
      </c>
      <c r="J710">
        <v>1</v>
      </c>
      <c r="L710" t="s">
        <v>876</v>
      </c>
      <c r="M710" t="s">
        <v>876</v>
      </c>
      <c r="N710" t="s">
        <v>876</v>
      </c>
      <c r="O710" t="s">
        <v>876</v>
      </c>
      <c r="P710" t="s">
        <v>876</v>
      </c>
    </row>
    <row r="711" spans="1:25" x14ac:dyDescent="0.2">
      <c r="A711" s="60" t="s">
        <v>3765</v>
      </c>
      <c r="B711" t="s">
        <v>3766</v>
      </c>
      <c r="C711" t="s">
        <v>3767</v>
      </c>
      <c r="D711" t="s">
        <v>1318</v>
      </c>
      <c r="F711">
        <v>301353</v>
      </c>
      <c r="J711">
        <v>1</v>
      </c>
      <c r="L711" t="s">
        <v>3768</v>
      </c>
      <c r="M711" t="s">
        <v>860</v>
      </c>
      <c r="N711" t="s">
        <v>876</v>
      </c>
      <c r="O711" t="s">
        <v>1032</v>
      </c>
      <c r="P711" t="s">
        <v>1033</v>
      </c>
      <c r="T711">
        <v>3.2980547059999998</v>
      </c>
      <c r="U711">
        <v>5.0494838790000003</v>
      </c>
      <c r="V711">
        <v>69.510022765002972</v>
      </c>
      <c r="W711">
        <v>18.590687427241846</v>
      </c>
      <c r="X711">
        <v>0.4083474677986399</v>
      </c>
      <c r="Y711">
        <v>0.63625515646263886</v>
      </c>
    </row>
    <row r="712" spans="1:25" x14ac:dyDescent="0.2">
      <c r="A712" s="60" t="s">
        <v>3769</v>
      </c>
      <c r="B712" t="s">
        <v>3770</v>
      </c>
      <c r="C712" t="s">
        <v>3771</v>
      </c>
      <c r="D712" t="s">
        <v>1514</v>
      </c>
      <c r="F712">
        <v>301354</v>
      </c>
      <c r="J712">
        <v>1</v>
      </c>
      <c r="L712" t="s">
        <v>876</v>
      </c>
      <c r="M712" t="s">
        <v>876</v>
      </c>
      <c r="N712" t="s">
        <v>876</v>
      </c>
      <c r="O712" t="s">
        <v>876</v>
      </c>
      <c r="P712" t="s">
        <v>876</v>
      </c>
    </row>
    <row r="713" spans="1:25" x14ac:dyDescent="0.2">
      <c r="A713" s="60" t="s">
        <v>3772</v>
      </c>
      <c r="B713" t="s">
        <v>3773</v>
      </c>
      <c r="C713" t="s">
        <v>3774</v>
      </c>
      <c r="D713" t="s">
        <v>1375</v>
      </c>
      <c r="F713">
        <v>301355</v>
      </c>
      <c r="J713">
        <v>1</v>
      </c>
      <c r="L713" t="s">
        <v>876</v>
      </c>
      <c r="M713" t="s">
        <v>876</v>
      </c>
      <c r="N713" t="s">
        <v>876</v>
      </c>
      <c r="O713" t="s">
        <v>876</v>
      </c>
      <c r="P713" t="s">
        <v>876</v>
      </c>
    </row>
    <row r="714" spans="1:25" x14ac:dyDescent="0.2">
      <c r="A714" s="60" t="s">
        <v>3775</v>
      </c>
      <c r="B714" t="s">
        <v>3776</v>
      </c>
      <c r="C714" t="s">
        <v>3777</v>
      </c>
      <c r="D714" t="s">
        <v>1375</v>
      </c>
      <c r="F714">
        <v>301356</v>
      </c>
      <c r="J714">
        <v>1</v>
      </c>
      <c r="L714" t="s">
        <v>876</v>
      </c>
      <c r="M714" t="s">
        <v>876</v>
      </c>
      <c r="N714" t="s">
        <v>876</v>
      </c>
      <c r="O714" t="s">
        <v>876</v>
      </c>
      <c r="P714" t="s">
        <v>876</v>
      </c>
    </row>
    <row r="715" spans="1:25" x14ac:dyDescent="0.2">
      <c r="A715" s="60" t="s">
        <v>3778</v>
      </c>
      <c r="B715" t="s">
        <v>3779</v>
      </c>
      <c r="C715" t="s">
        <v>3780</v>
      </c>
      <c r="D715" t="s">
        <v>866</v>
      </c>
      <c r="F715">
        <v>301357</v>
      </c>
      <c r="J715">
        <v>1</v>
      </c>
      <c r="L715" t="s">
        <v>876</v>
      </c>
      <c r="M715" t="s">
        <v>876</v>
      </c>
      <c r="N715" t="s">
        <v>876</v>
      </c>
      <c r="O715" t="s">
        <v>876</v>
      </c>
      <c r="P715" t="s">
        <v>876</v>
      </c>
    </row>
    <row r="716" spans="1:25" x14ac:dyDescent="0.2">
      <c r="A716" s="60" t="s">
        <v>3781</v>
      </c>
      <c r="B716" t="s">
        <v>3782</v>
      </c>
      <c r="C716" t="s">
        <v>3783</v>
      </c>
      <c r="D716" t="s">
        <v>1375</v>
      </c>
      <c r="F716">
        <v>301358</v>
      </c>
      <c r="J716">
        <v>1</v>
      </c>
      <c r="L716" t="s">
        <v>876</v>
      </c>
      <c r="M716" t="s">
        <v>876</v>
      </c>
      <c r="N716" t="s">
        <v>876</v>
      </c>
      <c r="O716" t="s">
        <v>876</v>
      </c>
      <c r="P716" t="s">
        <v>876</v>
      </c>
    </row>
    <row r="717" spans="1:25" x14ac:dyDescent="0.2">
      <c r="A717" s="60" t="s">
        <v>3784</v>
      </c>
      <c r="B717" t="s">
        <v>3785</v>
      </c>
      <c r="C717" t="s">
        <v>3786</v>
      </c>
      <c r="D717" t="s">
        <v>1517</v>
      </c>
      <c r="F717">
        <v>301359</v>
      </c>
      <c r="J717">
        <v>1</v>
      </c>
      <c r="L717" t="s">
        <v>876</v>
      </c>
      <c r="M717" t="s">
        <v>876</v>
      </c>
      <c r="N717" t="s">
        <v>876</v>
      </c>
      <c r="O717" t="s">
        <v>876</v>
      </c>
      <c r="P717" t="s">
        <v>876</v>
      </c>
    </row>
    <row r="718" spans="1:25" x14ac:dyDescent="0.2">
      <c r="A718" s="60" t="s">
        <v>3787</v>
      </c>
      <c r="B718" t="s">
        <v>3788</v>
      </c>
      <c r="C718" t="s">
        <v>3789</v>
      </c>
      <c r="D718" t="s">
        <v>782</v>
      </c>
      <c r="F718">
        <v>301360</v>
      </c>
      <c r="J718">
        <v>1</v>
      </c>
      <c r="L718" t="s">
        <v>876</v>
      </c>
      <c r="M718" t="s">
        <v>876</v>
      </c>
      <c r="N718" t="s">
        <v>876</v>
      </c>
      <c r="O718" t="s">
        <v>876</v>
      </c>
      <c r="P718" t="s">
        <v>876</v>
      </c>
    </row>
    <row r="719" spans="1:25" x14ac:dyDescent="0.2">
      <c r="A719" s="60" t="s">
        <v>3790</v>
      </c>
      <c r="B719" t="s">
        <v>3791</v>
      </c>
      <c r="C719" t="s">
        <v>3792</v>
      </c>
      <c r="D719" t="s">
        <v>866</v>
      </c>
      <c r="F719">
        <v>301361</v>
      </c>
      <c r="J719">
        <v>1</v>
      </c>
      <c r="L719" t="s">
        <v>876</v>
      </c>
      <c r="M719" t="s">
        <v>876</v>
      </c>
      <c r="N719" t="s">
        <v>876</v>
      </c>
      <c r="O719" t="s">
        <v>876</v>
      </c>
      <c r="P719" t="s">
        <v>876</v>
      </c>
    </row>
    <row r="720" spans="1:25" x14ac:dyDescent="0.2">
      <c r="A720" s="60" t="s">
        <v>3793</v>
      </c>
      <c r="B720" t="s">
        <v>3794</v>
      </c>
      <c r="C720" t="s">
        <v>3795</v>
      </c>
      <c r="D720" t="s">
        <v>866</v>
      </c>
      <c r="F720">
        <v>301362</v>
      </c>
      <c r="J720">
        <v>1</v>
      </c>
      <c r="L720" t="s">
        <v>876</v>
      </c>
      <c r="M720" t="s">
        <v>876</v>
      </c>
      <c r="N720" t="s">
        <v>876</v>
      </c>
      <c r="O720" t="s">
        <v>876</v>
      </c>
      <c r="P720" t="s">
        <v>876</v>
      </c>
    </row>
    <row r="721" spans="1:25" x14ac:dyDescent="0.2">
      <c r="A721" s="60" t="s">
        <v>3796</v>
      </c>
      <c r="B721" t="s">
        <v>3797</v>
      </c>
      <c r="C721" t="s">
        <v>3798</v>
      </c>
      <c r="D721" t="s">
        <v>1375</v>
      </c>
      <c r="F721">
        <v>301363</v>
      </c>
      <c r="J721">
        <v>1</v>
      </c>
      <c r="L721" t="s">
        <v>876</v>
      </c>
      <c r="M721" t="s">
        <v>876</v>
      </c>
      <c r="N721" t="s">
        <v>876</v>
      </c>
      <c r="O721" t="s">
        <v>876</v>
      </c>
      <c r="P721" t="s">
        <v>876</v>
      </c>
    </row>
    <row r="722" spans="1:25" x14ac:dyDescent="0.2">
      <c r="A722" s="60" t="s">
        <v>3799</v>
      </c>
      <c r="B722" t="s">
        <v>3800</v>
      </c>
      <c r="C722" t="s">
        <v>3801</v>
      </c>
      <c r="D722" t="s">
        <v>1517</v>
      </c>
      <c r="F722">
        <v>301364</v>
      </c>
      <c r="J722">
        <v>1</v>
      </c>
      <c r="L722" t="s">
        <v>876</v>
      </c>
      <c r="M722" t="s">
        <v>876</v>
      </c>
      <c r="N722" t="s">
        <v>876</v>
      </c>
      <c r="O722" t="s">
        <v>876</v>
      </c>
      <c r="P722" t="s">
        <v>876</v>
      </c>
    </row>
    <row r="723" spans="1:25" x14ac:dyDescent="0.2">
      <c r="A723" s="60" t="s">
        <v>3802</v>
      </c>
      <c r="B723" t="s">
        <v>3803</v>
      </c>
      <c r="C723" t="s">
        <v>3804</v>
      </c>
      <c r="D723" t="s">
        <v>1517</v>
      </c>
      <c r="F723">
        <v>301365</v>
      </c>
      <c r="J723">
        <v>1</v>
      </c>
      <c r="L723" t="s">
        <v>876</v>
      </c>
      <c r="M723" t="s">
        <v>876</v>
      </c>
      <c r="N723" t="s">
        <v>876</v>
      </c>
      <c r="O723" t="s">
        <v>876</v>
      </c>
      <c r="P723" t="s">
        <v>876</v>
      </c>
    </row>
    <row r="724" spans="1:25" x14ac:dyDescent="0.2">
      <c r="A724" s="60" t="s">
        <v>3805</v>
      </c>
      <c r="B724" t="s">
        <v>3806</v>
      </c>
      <c r="C724" t="s">
        <v>3807</v>
      </c>
      <c r="D724" t="s">
        <v>1365</v>
      </c>
      <c r="F724">
        <v>301366</v>
      </c>
      <c r="J724">
        <v>1</v>
      </c>
      <c r="L724" t="s">
        <v>3808</v>
      </c>
      <c r="M724" t="s">
        <v>3809</v>
      </c>
      <c r="N724" t="s">
        <v>876</v>
      </c>
      <c r="O724" t="s">
        <v>667</v>
      </c>
      <c r="P724" t="s">
        <v>1522</v>
      </c>
      <c r="T724">
        <v>56.040496259999998</v>
      </c>
      <c r="U724">
        <v>60.159664929999998</v>
      </c>
      <c r="V724">
        <v>87.956004385159716</v>
      </c>
      <c r="W724">
        <v>67.806912873599501</v>
      </c>
      <c r="X724">
        <v>7.3851913844296735E-2</v>
      </c>
      <c r="Y724">
        <v>8.876125801185189E-2</v>
      </c>
    </row>
    <row r="725" spans="1:25" x14ac:dyDescent="0.2">
      <c r="A725" s="60" t="s">
        <v>3810</v>
      </c>
      <c r="B725" t="s">
        <v>3811</v>
      </c>
      <c r="C725" t="s">
        <v>3812</v>
      </c>
      <c r="D725" t="s">
        <v>1307</v>
      </c>
      <c r="F725">
        <v>301367</v>
      </c>
      <c r="J725">
        <v>1</v>
      </c>
      <c r="L725" t="s">
        <v>3813</v>
      </c>
      <c r="M725" t="s">
        <v>3814</v>
      </c>
      <c r="N725" t="s">
        <v>876</v>
      </c>
      <c r="O725" t="s">
        <v>1032</v>
      </c>
      <c r="P725" t="s">
        <v>1033</v>
      </c>
      <c r="T725">
        <v>10000</v>
      </c>
      <c r="U725">
        <v>10000</v>
      </c>
      <c r="V725">
        <v>10000</v>
      </c>
      <c r="W725">
        <v>10000</v>
      </c>
      <c r="X725">
        <v>0.14374960513507251</v>
      </c>
      <c r="Y725">
        <v>0.20624990243852626</v>
      </c>
    </row>
    <row r="726" spans="1:25" x14ac:dyDescent="0.2">
      <c r="A726" s="60" t="s">
        <v>3815</v>
      </c>
      <c r="B726" t="s">
        <v>3816</v>
      </c>
      <c r="C726" t="s">
        <v>3817</v>
      </c>
      <c r="D726" t="s">
        <v>866</v>
      </c>
      <c r="F726">
        <v>301368</v>
      </c>
      <c r="J726">
        <v>1</v>
      </c>
      <c r="L726" t="s">
        <v>876</v>
      </c>
      <c r="M726" t="s">
        <v>876</v>
      </c>
      <c r="N726" t="s">
        <v>876</v>
      </c>
      <c r="O726" t="s">
        <v>876</v>
      </c>
      <c r="P726" t="s">
        <v>876</v>
      </c>
    </row>
    <row r="727" spans="1:25" x14ac:dyDescent="0.2">
      <c r="A727" s="60" t="s">
        <v>3818</v>
      </c>
      <c r="B727" t="s">
        <v>3819</v>
      </c>
      <c r="C727" t="s">
        <v>3820</v>
      </c>
      <c r="D727" t="s">
        <v>866</v>
      </c>
      <c r="F727">
        <v>301369</v>
      </c>
      <c r="J727">
        <v>1</v>
      </c>
      <c r="L727" t="s">
        <v>876</v>
      </c>
      <c r="M727" t="s">
        <v>876</v>
      </c>
      <c r="N727" t="s">
        <v>876</v>
      </c>
      <c r="O727" t="s">
        <v>876</v>
      </c>
      <c r="P727" t="s">
        <v>876</v>
      </c>
    </row>
    <row r="728" spans="1:25" x14ac:dyDescent="0.2">
      <c r="A728" s="60" t="s">
        <v>3821</v>
      </c>
      <c r="B728" t="s">
        <v>3822</v>
      </c>
      <c r="C728" t="s">
        <v>3823</v>
      </c>
      <c r="D728" t="s">
        <v>1517</v>
      </c>
      <c r="F728">
        <v>301370</v>
      </c>
      <c r="J728">
        <v>1</v>
      </c>
      <c r="L728" t="s">
        <v>876</v>
      </c>
      <c r="M728" t="s">
        <v>876</v>
      </c>
      <c r="N728" t="s">
        <v>876</v>
      </c>
      <c r="O728" t="s">
        <v>876</v>
      </c>
      <c r="P728" t="s">
        <v>876</v>
      </c>
    </row>
    <row r="729" spans="1:25" x14ac:dyDescent="0.2">
      <c r="A729" s="60" t="s">
        <v>3824</v>
      </c>
      <c r="B729" t="s">
        <v>3825</v>
      </c>
      <c r="C729" t="s">
        <v>3826</v>
      </c>
      <c r="D729" t="s">
        <v>1307</v>
      </c>
      <c r="F729">
        <v>301371</v>
      </c>
      <c r="J729">
        <v>1</v>
      </c>
      <c r="L729" t="s">
        <v>3827</v>
      </c>
      <c r="M729" t="s">
        <v>3828</v>
      </c>
      <c r="N729" t="s">
        <v>876</v>
      </c>
      <c r="O729" t="s">
        <v>1032</v>
      </c>
      <c r="P729" t="s">
        <v>1033</v>
      </c>
      <c r="T729">
        <v>10000</v>
      </c>
      <c r="U729">
        <v>10000</v>
      </c>
      <c r="V729">
        <v>10000</v>
      </c>
      <c r="W729">
        <v>10000</v>
      </c>
      <c r="X729">
        <v>9.9476433634084246E-2</v>
      </c>
      <c r="Y729">
        <v>0.13612564904807625</v>
      </c>
    </row>
    <row r="730" spans="1:25" x14ac:dyDescent="0.2">
      <c r="A730" s="60" t="s">
        <v>3829</v>
      </c>
      <c r="B730" t="s">
        <v>3830</v>
      </c>
      <c r="C730" t="s">
        <v>3831</v>
      </c>
      <c r="D730" t="s">
        <v>1307</v>
      </c>
      <c r="F730">
        <v>301372</v>
      </c>
      <c r="J730">
        <v>1</v>
      </c>
      <c r="L730" t="s">
        <v>3832</v>
      </c>
      <c r="M730" t="s">
        <v>3833</v>
      </c>
      <c r="N730" t="s">
        <v>876</v>
      </c>
      <c r="O730" t="s">
        <v>1032</v>
      </c>
      <c r="P730" t="s">
        <v>1033</v>
      </c>
      <c r="T730">
        <v>10000</v>
      </c>
      <c r="U730">
        <v>9.2285284529999991</v>
      </c>
      <c r="V730">
        <v>10000</v>
      </c>
      <c r="W730">
        <v>10000</v>
      </c>
      <c r="X730">
        <v>0.18251440529877355</v>
      </c>
      <c r="Y730">
        <v>0.23601590154913821</v>
      </c>
    </row>
    <row r="731" spans="1:25" x14ac:dyDescent="0.2">
      <c r="A731" s="60" t="s">
        <v>3834</v>
      </c>
      <c r="B731" t="s">
        <v>3835</v>
      </c>
      <c r="C731" t="s">
        <v>3836</v>
      </c>
      <c r="D731" t="s">
        <v>1388</v>
      </c>
      <c r="F731">
        <v>301373</v>
      </c>
      <c r="J731">
        <v>1</v>
      </c>
      <c r="L731" t="s">
        <v>3837</v>
      </c>
      <c r="M731" t="s">
        <v>3838</v>
      </c>
      <c r="N731" t="s">
        <v>876</v>
      </c>
      <c r="O731" t="s">
        <v>667</v>
      </c>
      <c r="P731" t="s">
        <v>1522</v>
      </c>
      <c r="T731">
        <v>79.088592559999995</v>
      </c>
      <c r="U731" t="s">
        <v>0</v>
      </c>
      <c r="V731">
        <v>10000</v>
      </c>
      <c r="W731" t="s">
        <v>0</v>
      </c>
      <c r="X731">
        <v>0.15477543525814466</v>
      </c>
      <c r="Y731">
        <v>0.15430189007794354</v>
      </c>
    </row>
    <row r="732" spans="1:25" x14ac:dyDescent="0.2">
      <c r="A732" s="60" t="s">
        <v>3839</v>
      </c>
      <c r="B732" t="s">
        <v>3840</v>
      </c>
      <c r="C732" t="s">
        <v>3841</v>
      </c>
      <c r="D732" t="s">
        <v>1517</v>
      </c>
      <c r="F732">
        <v>301374</v>
      </c>
      <c r="J732">
        <v>1</v>
      </c>
      <c r="L732" t="s">
        <v>876</v>
      </c>
      <c r="M732" t="s">
        <v>876</v>
      </c>
      <c r="N732" t="s">
        <v>876</v>
      </c>
      <c r="O732" t="s">
        <v>876</v>
      </c>
      <c r="P732" t="s">
        <v>876</v>
      </c>
    </row>
    <row r="733" spans="1:25" x14ac:dyDescent="0.2">
      <c r="A733" s="60" t="s">
        <v>3842</v>
      </c>
      <c r="B733" t="s">
        <v>3843</v>
      </c>
      <c r="C733" t="s">
        <v>3844</v>
      </c>
      <c r="D733" t="s">
        <v>866</v>
      </c>
      <c r="F733">
        <v>301375</v>
      </c>
      <c r="J733">
        <v>1</v>
      </c>
      <c r="L733" t="s">
        <v>876</v>
      </c>
      <c r="M733" t="s">
        <v>876</v>
      </c>
      <c r="N733" t="s">
        <v>876</v>
      </c>
      <c r="O733" t="s">
        <v>876</v>
      </c>
      <c r="P733" t="s">
        <v>876</v>
      </c>
    </row>
    <row r="734" spans="1:25" x14ac:dyDescent="0.2">
      <c r="A734" s="60" t="s">
        <v>3845</v>
      </c>
      <c r="B734" t="s">
        <v>3846</v>
      </c>
      <c r="C734" t="s">
        <v>3847</v>
      </c>
      <c r="D734" t="s">
        <v>1297</v>
      </c>
      <c r="F734">
        <v>301376</v>
      </c>
      <c r="J734">
        <v>1</v>
      </c>
      <c r="L734" t="s">
        <v>3848</v>
      </c>
      <c r="M734" t="s">
        <v>3849</v>
      </c>
      <c r="N734" t="s">
        <v>876</v>
      </c>
      <c r="O734" t="s">
        <v>1032</v>
      </c>
      <c r="P734" t="s">
        <v>1033</v>
      </c>
      <c r="Q734">
        <v>1</v>
      </c>
      <c r="T734">
        <v>1.925257795</v>
      </c>
      <c r="U734">
        <v>1.4114788979999999</v>
      </c>
      <c r="V734">
        <v>13.346732258076026</v>
      </c>
      <c r="W734">
        <v>7.027159799208345</v>
      </c>
      <c r="X734">
        <v>0.71532621206301417</v>
      </c>
      <c r="Y734">
        <v>0.83086851608995138</v>
      </c>
    </row>
    <row r="735" spans="1:25" x14ac:dyDescent="0.2">
      <c r="A735" s="60" t="s">
        <v>3850</v>
      </c>
      <c r="B735" t="s">
        <v>3851</v>
      </c>
      <c r="C735" t="s">
        <v>3852</v>
      </c>
      <c r="D735" t="s">
        <v>1297</v>
      </c>
      <c r="F735">
        <v>301377</v>
      </c>
      <c r="J735">
        <v>1</v>
      </c>
      <c r="L735" t="s">
        <v>3853</v>
      </c>
      <c r="M735" t="s">
        <v>3854</v>
      </c>
      <c r="N735" t="s">
        <v>876</v>
      </c>
      <c r="O735" t="s">
        <v>1032</v>
      </c>
      <c r="P735" t="s">
        <v>1033</v>
      </c>
      <c r="T735">
        <v>10000</v>
      </c>
      <c r="U735">
        <v>10000</v>
      </c>
      <c r="V735">
        <v>10000</v>
      </c>
      <c r="W735">
        <v>10000</v>
      </c>
      <c r="X735">
        <v>6.1716391110280024E-2</v>
      </c>
      <c r="Y735">
        <v>7.8124993849378821E-2</v>
      </c>
    </row>
    <row r="736" spans="1:25" x14ac:dyDescent="0.2">
      <c r="A736" s="60" t="s">
        <v>3855</v>
      </c>
      <c r="B736" t="s">
        <v>3856</v>
      </c>
      <c r="C736" t="s">
        <v>3857</v>
      </c>
      <c r="D736" t="s">
        <v>1375</v>
      </c>
      <c r="F736">
        <v>301378</v>
      </c>
      <c r="J736">
        <v>1</v>
      </c>
      <c r="L736" t="s">
        <v>876</v>
      </c>
      <c r="M736" t="s">
        <v>876</v>
      </c>
      <c r="N736" t="s">
        <v>876</v>
      </c>
      <c r="O736" t="s">
        <v>876</v>
      </c>
      <c r="P736" t="s">
        <v>876</v>
      </c>
    </row>
    <row r="737" spans="1:25" x14ac:dyDescent="0.2">
      <c r="A737" s="60" t="s">
        <v>3858</v>
      </c>
      <c r="B737" t="s">
        <v>3859</v>
      </c>
      <c r="C737" t="s">
        <v>3860</v>
      </c>
      <c r="D737" t="s">
        <v>1514</v>
      </c>
      <c r="F737">
        <v>301379</v>
      </c>
      <c r="J737">
        <v>1</v>
      </c>
      <c r="L737" t="s">
        <v>876</v>
      </c>
      <c r="M737" t="s">
        <v>876</v>
      </c>
      <c r="N737" t="s">
        <v>876</v>
      </c>
      <c r="O737" t="s">
        <v>876</v>
      </c>
      <c r="P737" t="s">
        <v>876</v>
      </c>
    </row>
    <row r="738" spans="1:25" x14ac:dyDescent="0.2">
      <c r="A738" s="60" t="s">
        <v>3861</v>
      </c>
      <c r="B738" t="s">
        <v>3862</v>
      </c>
      <c r="C738" t="s">
        <v>3863</v>
      </c>
      <c r="D738" t="s">
        <v>866</v>
      </c>
      <c r="F738">
        <v>301380</v>
      </c>
      <c r="J738">
        <v>1</v>
      </c>
      <c r="L738" t="s">
        <v>876</v>
      </c>
      <c r="M738" t="s">
        <v>876</v>
      </c>
      <c r="N738" t="s">
        <v>876</v>
      </c>
      <c r="O738" t="s">
        <v>876</v>
      </c>
      <c r="P738" t="s">
        <v>876</v>
      </c>
    </row>
    <row r="739" spans="1:25" x14ac:dyDescent="0.2">
      <c r="A739" s="60" t="s">
        <v>3864</v>
      </c>
      <c r="B739" t="s">
        <v>3865</v>
      </c>
      <c r="C739" t="s">
        <v>3866</v>
      </c>
      <c r="D739" t="s">
        <v>1517</v>
      </c>
      <c r="F739">
        <v>301381</v>
      </c>
      <c r="J739">
        <v>1</v>
      </c>
      <c r="L739" t="s">
        <v>876</v>
      </c>
      <c r="M739" t="s">
        <v>876</v>
      </c>
      <c r="N739" t="s">
        <v>876</v>
      </c>
      <c r="O739" t="s">
        <v>876</v>
      </c>
      <c r="P739" t="s">
        <v>876</v>
      </c>
    </row>
    <row r="740" spans="1:25" x14ac:dyDescent="0.2">
      <c r="A740" s="60" t="s">
        <v>3867</v>
      </c>
      <c r="B740" t="s">
        <v>3868</v>
      </c>
      <c r="C740" t="s">
        <v>3869</v>
      </c>
      <c r="D740" t="s">
        <v>1517</v>
      </c>
      <c r="F740">
        <v>301382</v>
      </c>
      <c r="J740">
        <v>1</v>
      </c>
      <c r="L740" t="s">
        <v>876</v>
      </c>
      <c r="M740" t="s">
        <v>876</v>
      </c>
      <c r="N740" t="s">
        <v>876</v>
      </c>
      <c r="O740" t="s">
        <v>876</v>
      </c>
      <c r="P740" t="s">
        <v>876</v>
      </c>
    </row>
    <row r="741" spans="1:25" x14ac:dyDescent="0.2">
      <c r="A741" s="60" t="s">
        <v>3870</v>
      </c>
      <c r="B741" t="s">
        <v>3871</v>
      </c>
      <c r="C741" t="s">
        <v>3872</v>
      </c>
      <c r="D741" t="s">
        <v>1517</v>
      </c>
      <c r="F741">
        <v>301383</v>
      </c>
      <c r="J741">
        <v>1</v>
      </c>
      <c r="L741" t="s">
        <v>876</v>
      </c>
      <c r="M741" t="s">
        <v>876</v>
      </c>
      <c r="N741" t="s">
        <v>876</v>
      </c>
      <c r="O741" t="s">
        <v>876</v>
      </c>
      <c r="P741" t="s">
        <v>876</v>
      </c>
    </row>
    <row r="742" spans="1:25" x14ac:dyDescent="0.2">
      <c r="A742" s="60" t="s">
        <v>3873</v>
      </c>
      <c r="B742" t="s">
        <v>3874</v>
      </c>
      <c r="C742" t="s">
        <v>3875</v>
      </c>
      <c r="D742" t="s">
        <v>3876</v>
      </c>
      <c r="F742">
        <v>301384</v>
      </c>
      <c r="J742">
        <v>1</v>
      </c>
      <c r="L742" t="s">
        <v>876</v>
      </c>
      <c r="M742" t="s">
        <v>876</v>
      </c>
      <c r="N742" t="s">
        <v>876</v>
      </c>
      <c r="O742" t="s">
        <v>876</v>
      </c>
      <c r="P742" t="s">
        <v>876</v>
      </c>
    </row>
    <row r="743" spans="1:25" x14ac:dyDescent="0.2">
      <c r="A743" s="60" t="s">
        <v>3877</v>
      </c>
      <c r="B743" t="s">
        <v>3878</v>
      </c>
      <c r="C743" t="s">
        <v>3879</v>
      </c>
      <c r="D743" t="s">
        <v>3880</v>
      </c>
      <c r="F743">
        <v>301385</v>
      </c>
      <c r="J743">
        <v>1</v>
      </c>
      <c r="L743" t="s">
        <v>876</v>
      </c>
      <c r="M743" t="s">
        <v>876</v>
      </c>
      <c r="N743" t="s">
        <v>876</v>
      </c>
      <c r="O743" t="s">
        <v>876</v>
      </c>
      <c r="P743" t="s">
        <v>876</v>
      </c>
    </row>
    <row r="744" spans="1:25" x14ac:dyDescent="0.2">
      <c r="A744" s="60" t="s">
        <v>3881</v>
      </c>
      <c r="B744" t="s">
        <v>3882</v>
      </c>
      <c r="C744" t="s">
        <v>3883</v>
      </c>
      <c r="D744" t="s">
        <v>1375</v>
      </c>
      <c r="F744">
        <v>301386</v>
      </c>
      <c r="J744">
        <v>1</v>
      </c>
      <c r="L744" t="s">
        <v>876</v>
      </c>
      <c r="M744" t="s">
        <v>876</v>
      </c>
      <c r="N744" t="s">
        <v>876</v>
      </c>
      <c r="O744" t="s">
        <v>876</v>
      </c>
      <c r="P744" t="s">
        <v>876</v>
      </c>
    </row>
    <row r="745" spans="1:25" x14ac:dyDescent="0.2">
      <c r="A745" s="60" t="s">
        <v>3884</v>
      </c>
      <c r="B745" t="s">
        <v>3885</v>
      </c>
      <c r="C745" t="s">
        <v>3886</v>
      </c>
      <c r="D745" t="s">
        <v>1375</v>
      </c>
      <c r="F745">
        <v>301387</v>
      </c>
      <c r="J745">
        <v>1</v>
      </c>
      <c r="L745" t="s">
        <v>876</v>
      </c>
      <c r="M745" t="s">
        <v>876</v>
      </c>
      <c r="N745" t="s">
        <v>876</v>
      </c>
      <c r="O745" t="s">
        <v>876</v>
      </c>
      <c r="P745" t="s">
        <v>876</v>
      </c>
    </row>
    <row r="746" spans="1:25" x14ac:dyDescent="0.2">
      <c r="A746" s="60" t="s">
        <v>3887</v>
      </c>
      <c r="B746" t="s">
        <v>3888</v>
      </c>
      <c r="C746" t="s">
        <v>3889</v>
      </c>
      <c r="D746" t="s">
        <v>2962</v>
      </c>
      <c r="F746">
        <v>301388</v>
      </c>
      <c r="J746">
        <v>1</v>
      </c>
      <c r="L746" t="s">
        <v>876</v>
      </c>
      <c r="M746" t="s">
        <v>876</v>
      </c>
      <c r="N746" t="s">
        <v>876</v>
      </c>
      <c r="O746" t="s">
        <v>876</v>
      </c>
      <c r="P746" t="s">
        <v>876</v>
      </c>
    </row>
    <row r="747" spans="1:25" x14ac:dyDescent="0.2">
      <c r="A747" s="60" t="s">
        <v>3890</v>
      </c>
      <c r="B747" t="s">
        <v>3891</v>
      </c>
      <c r="C747" t="s">
        <v>3892</v>
      </c>
      <c r="D747" t="s">
        <v>1375</v>
      </c>
      <c r="F747">
        <v>301389</v>
      </c>
      <c r="J747">
        <v>1</v>
      </c>
      <c r="L747" t="s">
        <v>876</v>
      </c>
      <c r="M747" t="s">
        <v>876</v>
      </c>
      <c r="N747" t="s">
        <v>876</v>
      </c>
      <c r="O747" t="s">
        <v>876</v>
      </c>
      <c r="P747" t="s">
        <v>876</v>
      </c>
    </row>
    <row r="748" spans="1:25" x14ac:dyDescent="0.2">
      <c r="A748" s="60" t="s">
        <v>3893</v>
      </c>
      <c r="B748" t="s">
        <v>3894</v>
      </c>
      <c r="C748" t="s">
        <v>3895</v>
      </c>
      <c r="D748" t="s">
        <v>1297</v>
      </c>
      <c r="F748">
        <v>301390</v>
      </c>
      <c r="J748">
        <v>1</v>
      </c>
      <c r="L748" t="s">
        <v>3896</v>
      </c>
      <c r="M748" t="s">
        <v>3897</v>
      </c>
      <c r="N748" t="s">
        <v>876</v>
      </c>
      <c r="O748" t="s">
        <v>1032</v>
      </c>
      <c r="P748" t="s">
        <v>1033</v>
      </c>
      <c r="T748">
        <v>10000</v>
      </c>
      <c r="U748">
        <v>9.9999999999999995E-7</v>
      </c>
      <c r="V748">
        <v>10000</v>
      </c>
      <c r="W748">
        <v>10000</v>
      </c>
      <c r="X748">
        <v>0.21249954592247175</v>
      </c>
      <c r="Y748">
        <v>0.26874973748376696</v>
      </c>
    </row>
    <row r="749" spans="1:25" x14ac:dyDescent="0.2">
      <c r="A749" s="60" t="s">
        <v>3898</v>
      </c>
      <c r="B749" t="s">
        <v>3899</v>
      </c>
      <c r="C749" t="s">
        <v>3900</v>
      </c>
      <c r="D749" t="s">
        <v>1514</v>
      </c>
      <c r="F749">
        <v>301391</v>
      </c>
      <c r="J749">
        <v>1</v>
      </c>
      <c r="L749" t="s">
        <v>876</v>
      </c>
      <c r="M749" t="s">
        <v>876</v>
      </c>
      <c r="N749" t="s">
        <v>876</v>
      </c>
      <c r="O749" t="s">
        <v>876</v>
      </c>
      <c r="P749" t="s">
        <v>876</v>
      </c>
    </row>
    <row r="750" spans="1:25" x14ac:dyDescent="0.2">
      <c r="A750" s="60" t="s">
        <v>3901</v>
      </c>
      <c r="B750" t="s">
        <v>3902</v>
      </c>
      <c r="C750" t="s">
        <v>3903</v>
      </c>
      <c r="D750" t="s">
        <v>1297</v>
      </c>
      <c r="F750">
        <v>301392</v>
      </c>
      <c r="J750">
        <v>1</v>
      </c>
      <c r="L750" t="s">
        <v>3904</v>
      </c>
      <c r="M750" t="s">
        <v>3905</v>
      </c>
      <c r="N750" t="s">
        <v>876</v>
      </c>
      <c r="O750" t="s">
        <v>1032</v>
      </c>
      <c r="P750" t="s">
        <v>1033</v>
      </c>
      <c r="T750">
        <v>9.9999999999999995E-7</v>
      </c>
      <c r="U750">
        <v>5.8417900000000002E-5</v>
      </c>
      <c r="V750">
        <v>10000</v>
      </c>
      <c r="W750">
        <v>10000</v>
      </c>
      <c r="X750">
        <v>0.18749977048948824</v>
      </c>
      <c r="Y750">
        <v>0.29805493492913837</v>
      </c>
    </row>
    <row r="751" spans="1:25" x14ac:dyDescent="0.2">
      <c r="A751" s="60" t="s">
        <v>3906</v>
      </c>
      <c r="B751" t="s">
        <v>3907</v>
      </c>
      <c r="C751" t="s">
        <v>3908</v>
      </c>
      <c r="D751" t="s">
        <v>3909</v>
      </c>
      <c r="F751">
        <v>301393</v>
      </c>
      <c r="J751">
        <v>1</v>
      </c>
      <c r="L751" t="s">
        <v>876</v>
      </c>
      <c r="M751" t="s">
        <v>876</v>
      </c>
      <c r="N751" t="s">
        <v>876</v>
      </c>
      <c r="O751" t="s">
        <v>876</v>
      </c>
      <c r="P751" t="s">
        <v>876</v>
      </c>
      <c r="T751">
        <v>10000</v>
      </c>
      <c r="U751">
        <v>10000</v>
      </c>
      <c r="V751">
        <v>10000</v>
      </c>
      <c r="W751">
        <v>10000</v>
      </c>
      <c r="X751">
        <v>8.9184073785657555E-2</v>
      </c>
      <c r="Y751">
        <v>0.10416667089556028</v>
      </c>
    </row>
    <row r="752" spans="1:25" x14ac:dyDescent="0.2">
      <c r="A752" s="60" t="s">
        <v>3910</v>
      </c>
      <c r="B752" t="s">
        <v>3911</v>
      </c>
      <c r="C752" t="s">
        <v>3912</v>
      </c>
      <c r="D752" t="s">
        <v>1517</v>
      </c>
      <c r="F752">
        <v>301394</v>
      </c>
      <c r="J752">
        <v>1</v>
      </c>
      <c r="L752" t="s">
        <v>876</v>
      </c>
      <c r="M752" t="s">
        <v>876</v>
      </c>
      <c r="N752" t="s">
        <v>876</v>
      </c>
      <c r="O752" t="s">
        <v>876</v>
      </c>
      <c r="P752" t="s">
        <v>876</v>
      </c>
    </row>
    <row r="753" spans="1:25" x14ac:dyDescent="0.2">
      <c r="A753" s="60" t="s">
        <v>3913</v>
      </c>
      <c r="B753" t="s">
        <v>3914</v>
      </c>
      <c r="C753" t="s">
        <v>3915</v>
      </c>
      <c r="D753" t="s">
        <v>1375</v>
      </c>
      <c r="F753">
        <v>301395</v>
      </c>
      <c r="J753">
        <v>1</v>
      </c>
      <c r="L753" t="s">
        <v>876</v>
      </c>
      <c r="M753" t="s">
        <v>876</v>
      </c>
      <c r="N753" t="s">
        <v>876</v>
      </c>
      <c r="O753" t="s">
        <v>876</v>
      </c>
      <c r="P753" t="s">
        <v>876</v>
      </c>
    </row>
    <row r="754" spans="1:25" x14ac:dyDescent="0.2">
      <c r="A754" s="60" t="s">
        <v>3916</v>
      </c>
      <c r="B754" t="s">
        <v>3917</v>
      </c>
      <c r="C754" t="s">
        <v>3918</v>
      </c>
      <c r="D754" t="s">
        <v>1297</v>
      </c>
      <c r="F754">
        <v>301396</v>
      </c>
      <c r="J754">
        <v>1</v>
      </c>
      <c r="L754" t="s">
        <v>876</v>
      </c>
      <c r="M754" t="s">
        <v>876</v>
      </c>
      <c r="N754" t="s">
        <v>876</v>
      </c>
      <c r="O754" t="s">
        <v>876</v>
      </c>
      <c r="P754" t="s">
        <v>876</v>
      </c>
      <c r="T754">
        <v>4.622755722</v>
      </c>
      <c r="U754">
        <v>0.78577909099999999</v>
      </c>
      <c r="V754">
        <v>10000</v>
      </c>
      <c r="W754">
        <v>1.1084501724415265</v>
      </c>
      <c r="X754">
        <v>0.23148788746303353</v>
      </c>
      <c r="Y754">
        <v>0.98021678327030326</v>
      </c>
    </row>
    <row r="755" spans="1:25" x14ac:dyDescent="0.2">
      <c r="A755" s="60" t="s">
        <v>3919</v>
      </c>
      <c r="B755" t="s">
        <v>3920</v>
      </c>
      <c r="C755" t="s">
        <v>3921</v>
      </c>
      <c r="D755" t="s">
        <v>1517</v>
      </c>
      <c r="F755">
        <v>301397</v>
      </c>
      <c r="J755">
        <v>1</v>
      </c>
      <c r="L755" t="s">
        <v>876</v>
      </c>
      <c r="M755" t="s">
        <v>876</v>
      </c>
      <c r="N755" t="s">
        <v>876</v>
      </c>
      <c r="O755" t="s">
        <v>876</v>
      </c>
      <c r="P755" t="s">
        <v>876</v>
      </c>
    </row>
    <row r="756" spans="1:25" x14ac:dyDescent="0.2">
      <c r="A756" s="60" t="s">
        <v>3922</v>
      </c>
      <c r="B756" t="s">
        <v>3923</v>
      </c>
      <c r="C756" t="s">
        <v>3924</v>
      </c>
      <c r="D756" t="s">
        <v>782</v>
      </c>
      <c r="F756">
        <v>301398</v>
      </c>
      <c r="J756">
        <v>1</v>
      </c>
      <c r="L756" t="s">
        <v>876</v>
      </c>
      <c r="M756" t="s">
        <v>876</v>
      </c>
      <c r="N756" t="s">
        <v>876</v>
      </c>
      <c r="O756" t="s">
        <v>876</v>
      </c>
      <c r="P756" t="s">
        <v>876</v>
      </c>
    </row>
    <row r="757" spans="1:25" x14ac:dyDescent="0.2">
      <c r="A757" s="60" t="s">
        <v>3925</v>
      </c>
      <c r="B757" t="s">
        <v>3926</v>
      </c>
      <c r="C757" t="s">
        <v>3927</v>
      </c>
      <c r="D757" t="s">
        <v>1514</v>
      </c>
      <c r="F757">
        <v>301399</v>
      </c>
      <c r="J757">
        <v>1</v>
      </c>
      <c r="L757" t="s">
        <v>876</v>
      </c>
      <c r="M757" t="s">
        <v>876</v>
      </c>
      <c r="N757" t="s">
        <v>876</v>
      </c>
      <c r="O757" t="s">
        <v>876</v>
      </c>
      <c r="P757" t="s">
        <v>876</v>
      </c>
    </row>
    <row r="758" spans="1:25" x14ac:dyDescent="0.2">
      <c r="A758" s="60" t="s">
        <v>3928</v>
      </c>
      <c r="B758" t="s">
        <v>3929</v>
      </c>
      <c r="C758" t="s">
        <v>3930</v>
      </c>
      <c r="D758" t="s">
        <v>1514</v>
      </c>
      <c r="F758">
        <v>301400</v>
      </c>
      <c r="J758">
        <v>1</v>
      </c>
      <c r="L758" t="s">
        <v>876</v>
      </c>
      <c r="M758" t="s">
        <v>876</v>
      </c>
      <c r="N758" t="s">
        <v>876</v>
      </c>
      <c r="O758" t="s">
        <v>876</v>
      </c>
      <c r="P758" t="s">
        <v>876</v>
      </c>
    </row>
    <row r="759" spans="1:25" x14ac:dyDescent="0.2">
      <c r="A759" s="60" t="s">
        <v>3931</v>
      </c>
      <c r="B759" t="s">
        <v>3932</v>
      </c>
      <c r="C759" t="s">
        <v>3933</v>
      </c>
      <c r="D759" t="s">
        <v>1375</v>
      </c>
      <c r="F759">
        <v>301401</v>
      </c>
      <c r="J759">
        <v>1</v>
      </c>
      <c r="L759" t="s">
        <v>876</v>
      </c>
      <c r="M759" t="s">
        <v>876</v>
      </c>
      <c r="N759" t="s">
        <v>876</v>
      </c>
      <c r="O759" t="s">
        <v>876</v>
      </c>
      <c r="P759" t="s">
        <v>876</v>
      </c>
    </row>
    <row r="760" spans="1:25" x14ac:dyDescent="0.2">
      <c r="A760" s="60" t="s">
        <v>3934</v>
      </c>
      <c r="B760" t="s">
        <v>3935</v>
      </c>
      <c r="C760" t="s">
        <v>3936</v>
      </c>
      <c r="D760" t="s">
        <v>1375</v>
      </c>
      <c r="F760">
        <v>301402</v>
      </c>
      <c r="J760">
        <v>1</v>
      </c>
      <c r="L760" t="s">
        <v>876</v>
      </c>
      <c r="M760" t="s">
        <v>876</v>
      </c>
      <c r="N760" t="s">
        <v>876</v>
      </c>
      <c r="O760" t="s">
        <v>876</v>
      </c>
      <c r="P760" t="s">
        <v>876</v>
      </c>
    </row>
    <row r="761" spans="1:25" x14ac:dyDescent="0.2">
      <c r="A761" s="60" t="s">
        <v>3937</v>
      </c>
      <c r="B761" t="s">
        <v>3938</v>
      </c>
      <c r="C761" t="s">
        <v>3939</v>
      </c>
      <c r="D761" t="s">
        <v>1517</v>
      </c>
      <c r="F761">
        <v>301403</v>
      </c>
      <c r="J761">
        <v>1</v>
      </c>
      <c r="L761" t="s">
        <v>876</v>
      </c>
      <c r="M761" t="s">
        <v>876</v>
      </c>
      <c r="N761" t="s">
        <v>876</v>
      </c>
      <c r="O761" t="s">
        <v>876</v>
      </c>
      <c r="P761" t="s">
        <v>876</v>
      </c>
    </row>
    <row r="762" spans="1:25" x14ac:dyDescent="0.2">
      <c r="A762" s="60" t="s">
        <v>3940</v>
      </c>
      <c r="B762" t="s">
        <v>3941</v>
      </c>
      <c r="C762" t="s">
        <v>3942</v>
      </c>
      <c r="D762" t="s">
        <v>1297</v>
      </c>
      <c r="F762">
        <v>301404</v>
      </c>
      <c r="J762">
        <v>1</v>
      </c>
      <c r="L762" t="s">
        <v>3943</v>
      </c>
      <c r="M762" t="s">
        <v>3944</v>
      </c>
      <c r="N762" t="s">
        <v>876</v>
      </c>
      <c r="O762" t="s">
        <v>1032</v>
      </c>
      <c r="P762" t="s">
        <v>1033</v>
      </c>
      <c r="T762">
        <v>10000</v>
      </c>
      <c r="U762">
        <v>10000</v>
      </c>
      <c r="V762">
        <v>10000</v>
      </c>
      <c r="W762">
        <v>10000</v>
      </c>
      <c r="X762">
        <v>0.10416665989008116</v>
      </c>
      <c r="Y762">
        <v>0.14062500031615011</v>
      </c>
    </row>
    <row r="763" spans="1:25" x14ac:dyDescent="0.2">
      <c r="A763" s="60" t="s">
        <v>3945</v>
      </c>
      <c r="B763" t="s">
        <v>3946</v>
      </c>
      <c r="C763" t="s">
        <v>3947</v>
      </c>
      <c r="D763" t="s">
        <v>1303</v>
      </c>
      <c r="F763">
        <v>301405</v>
      </c>
      <c r="J763">
        <v>1</v>
      </c>
      <c r="L763" t="s">
        <v>876</v>
      </c>
      <c r="M763" t="s">
        <v>876</v>
      </c>
      <c r="N763" t="s">
        <v>876</v>
      </c>
      <c r="O763" t="s">
        <v>876</v>
      </c>
      <c r="P763" t="s">
        <v>876</v>
      </c>
    </row>
    <row r="764" spans="1:25" x14ac:dyDescent="0.2">
      <c r="A764" s="60" t="s">
        <v>3948</v>
      </c>
      <c r="B764" t="s">
        <v>3949</v>
      </c>
      <c r="C764" t="s">
        <v>3950</v>
      </c>
      <c r="D764" t="s">
        <v>1303</v>
      </c>
      <c r="F764">
        <v>301406</v>
      </c>
      <c r="J764">
        <v>1</v>
      </c>
      <c r="L764" t="s">
        <v>876</v>
      </c>
      <c r="M764" t="s">
        <v>876</v>
      </c>
      <c r="N764" t="s">
        <v>876</v>
      </c>
      <c r="O764" t="s">
        <v>876</v>
      </c>
      <c r="P764" t="s">
        <v>876</v>
      </c>
    </row>
    <row r="765" spans="1:25" x14ac:dyDescent="0.2">
      <c r="A765" s="60" t="s">
        <v>3951</v>
      </c>
      <c r="B765" t="s">
        <v>3952</v>
      </c>
      <c r="C765" t="s">
        <v>3953</v>
      </c>
      <c r="D765" t="s">
        <v>1365</v>
      </c>
      <c r="F765">
        <v>301407</v>
      </c>
      <c r="J765">
        <v>1</v>
      </c>
      <c r="L765" t="s">
        <v>3954</v>
      </c>
      <c r="M765" t="s">
        <v>3955</v>
      </c>
      <c r="N765" t="s">
        <v>876</v>
      </c>
      <c r="O765" t="s">
        <v>678</v>
      </c>
      <c r="P765" t="s">
        <v>2216</v>
      </c>
      <c r="S765">
        <v>1</v>
      </c>
      <c r="T765">
        <v>5.1913487209999998</v>
      </c>
      <c r="U765">
        <v>1.3538538609999999</v>
      </c>
      <c r="V765">
        <v>10000</v>
      </c>
      <c r="W765">
        <v>10000</v>
      </c>
      <c r="X765">
        <v>0.11157173826821987</v>
      </c>
      <c r="Y765">
        <v>0.15007490469255835</v>
      </c>
    </row>
    <row r="766" spans="1:25" x14ac:dyDescent="0.2">
      <c r="A766" s="60" t="s">
        <v>3956</v>
      </c>
      <c r="B766" t="s">
        <v>3957</v>
      </c>
      <c r="C766" t="s">
        <v>3958</v>
      </c>
      <c r="D766" t="s">
        <v>1307</v>
      </c>
      <c r="F766">
        <v>301408</v>
      </c>
      <c r="J766">
        <v>1</v>
      </c>
      <c r="L766" t="s">
        <v>3959</v>
      </c>
      <c r="M766" t="s">
        <v>3960</v>
      </c>
      <c r="N766" t="s">
        <v>876</v>
      </c>
      <c r="O766" t="s">
        <v>1032</v>
      </c>
      <c r="P766" t="s">
        <v>1033</v>
      </c>
      <c r="T766">
        <v>65.805208109999995</v>
      </c>
      <c r="U766">
        <v>11.54029295</v>
      </c>
      <c r="V766">
        <v>95.052843342093738</v>
      </c>
      <c r="W766">
        <v>400.78865204113873</v>
      </c>
      <c r="X766">
        <v>8.8911564039805296E-2</v>
      </c>
      <c r="Y766">
        <v>0.29396000734689876</v>
      </c>
    </row>
    <row r="767" spans="1:25" x14ac:dyDescent="0.2">
      <c r="A767" s="60" t="s">
        <v>3961</v>
      </c>
      <c r="B767" t="s">
        <v>3962</v>
      </c>
      <c r="C767" t="s">
        <v>3963</v>
      </c>
      <c r="D767" t="s">
        <v>1375</v>
      </c>
      <c r="F767">
        <v>301409</v>
      </c>
      <c r="J767">
        <v>1</v>
      </c>
      <c r="L767" t="s">
        <v>876</v>
      </c>
      <c r="M767" t="s">
        <v>876</v>
      </c>
      <c r="N767" t="s">
        <v>876</v>
      </c>
      <c r="O767" t="s">
        <v>876</v>
      </c>
      <c r="P767" t="s">
        <v>876</v>
      </c>
    </row>
    <row r="768" spans="1:25" x14ac:dyDescent="0.2">
      <c r="A768" s="60" t="s">
        <v>3964</v>
      </c>
      <c r="B768" t="s">
        <v>3965</v>
      </c>
      <c r="C768" t="s">
        <v>3966</v>
      </c>
      <c r="D768" t="s">
        <v>866</v>
      </c>
      <c r="F768">
        <v>301410</v>
      </c>
      <c r="J768">
        <v>1</v>
      </c>
      <c r="L768" t="s">
        <v>876</v>
      </c>
      <c r="M768" t="s">
        <v>876</v>
      </c>
      <c r="N768" t="s">
        <v>876</v>
      </c>
      <c r="O768" t="s">
        <v>876</v>
      </c>
      <c r="P768" t="s">
        <v>876</v>
      </c>
    </row>
    <row r="769" spans="1:25" x14ac:dyDescent="0.2">
      <c r="A769" s="60" t="s">
        <v>3967</v>
      </c>
      <c r="B769" t="s">
        <v>3968</v>
      </c>
      <c r="C769" t="s">
        <v>3969</v>
      </c>
      <c r="D769" t="s">
        <v>1307</v>
      </c>
      <c r="F769">
        <v>301411</v>
      </c>
      <c r="J769">
        <v>1</v>
      </c>
      <c r="L769" t="s">
        <v>3970</v>
      </c>
      <c r="M769" t="s">
        <v>3971</v>
      </c>
      <c r="N769" t="s">
        <v>876</v>
      </c>
      <c r="O769" t="s">
        <v>1032</v>
      </c>
      <c r="P769" t="s">
        <v>1033</v>
      </c>
      <c r="T769">
        <v>94.006392689999998</v>
      </c>
      <c r="U769">
        <v>273.9674344</v>
      </c>
      <c r="V769">
        <v>10000</v>
      </c>
      <c r="W769">
        <v>10000</v>
      </c>
      <c r="X769">
        <v>0.19765635695932335</v>
      </c>
      <c r="Y769">
        <v>0.21963927998895147</v>
      </c>
    </row>
    <row r="770" spans="1:25" x14ac:dyDescent="0.2">
      <c r="A770" s="60" t="s">
        <v>3972</v>
      </c>
      <c r="B770" t="s">
        <v>3973</v>
      </c>
      <c r="C770" t="s">
        <v>3974</v>
      </c>
      <c r="D770" t="s">
        <v>1297</v>
      </c>
      <c r="F770">
        <v>301412</v>
      </c>
      <c r="J770">
        <v>1</v>
      </c>
      <c r="L770" t="s">
        <v>3975</v>
      </c>
      <c r="M770" t="s">
        <v>3976</v>
      </c>
      <c r="N770" t="s">
        <v>876</v>
      </c>
      <c r="O770" t="s">
        <v>1032</v>
      </c>
      <c r="P770" t="s">
        <v>1033</v>
      </c>
      <c r="T770">
        <v>6.4324951629999996</v>
      </c>
      <c r="U770">
        <v>6.4031938940000002</v>
      </c>
      <c r="V770">
        <v>8.3239712789292835</v>
      </c>
      <c r="W770">
        <v>7.1979092833804028</v>
      </c>
      <c r="X770">
        <v>0.8500313973764172</v>
      </c>
      <c r="Y770">
        <v>0.85536193170977981</v>
      </c>
    </row>
    <row r="771" spans="1:25" x14ac:dyDescent="0.2">
      <c r="A771" s="60" t="s">
        <v>3977</v>
      </c>
      <c r="B771" t="s">
        <v>3978</v>
      </c>
      <c r="C771" t="s">
        <v>3979</v>
      </c>
      <c r="D771" t="s">
        <v>1365</v>
      </c>
      <c r="F771">
        <v>301413</v>
      </c>
      <c r="J771">
        <v>1</v>
      </c>
      <c r="L771" t="s">
        <v>3980</v>
      </c>
      <c r="M771" t="s">
        <v>2102</v>
      </c>
      <c r="N771" t="s">
        <v>876</v>
      </c>
      <c r="O771" t="s">
        <v>667</v>
      </c>
      <c r="P771" t="s">
        <v>1522</v>
      </c>
      <c r="Q771">
        <v>1</v>
      </c>
      <c r="S771">
        <v>1</v>
      </c>
      <c r="T771">
        <v>10000</v>
      </c>
      <c r="U771">
        <v>5.8036058119999998</v>
      </c>
      <c r="V771">
        <v>10000</v>
      </c>
      <c r="W771">
        <v>230.43032343001821</v>
      </c>
      <c r="X771">
        <v>0.14494105186063988</v>
      </c>
      <c r="Y771">
        <v>0.36028131843477157</v>
      </c>
    </row>
    <row r="772" spans="1:25" x14ac:dyDescent="0.2">
      <c r="A772" s="60" t="s">
        <v>3981</v>
      </c>
      <c r="B772" t="s">
        <v>3982</v>
      </c>
      <c r="C772" t="s">
        <v>3983</v>
      </c>
      <c r="D772" t="s">
        <v>1318</v>
      </c>
      <c r="F772">
        <v>301414</v>
      </c>
      <c r="J772">
        <v>1</v>
      </c>
      <c r="L772" t="s">
        <v>3984</v>
      </c>
      <c r="M772" t="s">
        <v>3985</v>
      </c>
      <c r="N772" t="s">
        <v>876</v>
      </c>
      <c r="O772" t="s">
        <v>1032</v>
      </c>
      <c r="P772" t="s">
        <v>1033</v>
      </c>
      <c r="T772">
        <v>61.275209670000002</v>
      </c>
      <c r="U772">
        <v>60.012059700000002</v>
      </c>
      <c r="V772">
        <v>68.887845357498378</v>
      </c>
      <c r="W772">
        <v>67.458087712538216</v>
      </c>
      <c r="X772">
        <v>7.1827404583535787E-2</v>
      </c>
      <c r="Y772">
        <v>0.11417949199992941</v>
      </c>
    </row>
    <row r="773" spans="1:25" x14ac:dyDescent="0.2">
      <c r="A773" s="60" t="s">
        <v>3986</v>
      </c>
      <c r="B773" t="s">
        <v>3987</v>
      </c>
      <c r="C773" t="s">
        <v>3988</v>
      </c>
      <c r="D773" t="s">
        <v>1365</v>
      </c>
      <c r="F773">
        <v>301415</v>
      </c>
      <c r="J773">
        <v>1</v>
      </c>
      <c r="L773" t="s">
        <v>3989</v>
      </c>
      <c r="M773" t="s">
        <v>3990</v>
      </c>
      <c r="N773" t="s">
        <v>876</v>
      </c>
      <c r="O773" t="s">
        <v>667</v>
      </c>
      <c r="P773" t="s">
        <v>1522</v>
      </c>
      <c r="T773">
        <v>10000</v>
      </c>
      <c r="U773" t="s">
        <v>0</v>
      </c>
      <c r="V773">
        <v>10000</v>
      </c>
      <c r="W773" t="s">
        <v>0</v>
      </c>
      <c r="X773">
        <v>0.14909046094911521</v>
      </c>
      <c r="Y773">
        <v>0.41750635328299396</v>
      </c>
    </row>
    <row r="774" spans="1:25" x14ac:dyDescent="0.2">
      <c r="A774" s="60" t="s">
        <v>3991</v>
      </c>
      <c r="B774" t="s">
        <v>3992</v>
      </c>
      <c r="C774" t="s">
        <v>3993</v>
      </c>
      <c r="D774" t="s">
        <v>1375</v>
      </c>
      <c r="F774">
        <v>301416</v>
      </c>
      <c r="J774">
        <v>1</v>
      </c>
      <c r="L774" t="s">
        <v>876</v>
      </c>
      <c r="M774" t="s">
        <v>876</v>
      </c>
      <c r="N774" t="s">
        <v>876</v>
      </c>
      <c r="O774" t="s">
        <v>876</v>
      </c>
      <c r="P774" t="s">
        <v>876</v>
      </c>
      <c r="Q774">
        <v>1</v>
      </c>
    </row>
    <row r="775" spans="1:25" x14ac:dyDescent="0.2">
      <c r="A775" s="60" t="s">
        <v>3994</v>
      </c>
      <c r="B775" t="s">
        <v>3995</v>
      </c>
      <c r="C775" t="s">
        <v>3996</v>
      </c>
      <c r="D775" t="s">
        <v>1318</v>
      </c>
      <c r="F775">
        <v>301417</v>
      </c>
      <c r="J775">
        <v>1</v>
      </c>
      <c r="L775" t="s">
        <v>876</v>
      </c>
      <c r="M775" t="s">
        <v>876</v>
      </c>
      <c r="N775" t="s">
        <v>876</v>
      </c>
      <c r="O775" t="s">
        <v>876</v>
      </c>
      <c r="P775" t="s">
        <v>876</v>
      </c>
      <c r="T775">
        <v>380.27093230000003</v>
      </c>
      <c r="U775">
        <v>10.916681240000001</v>
      </c>
      <c r="V775">
        <v>10000</v>
      </c>
      <c r="W775">
        <v>10000</v>
      </c>
      <c r="X775">
        <v>7.9111796166415366E-2</v>
      </c>
      <c r="Y775">
        <v>0.19349137125034718</v>
      </c>
    </row>
    <row r="776" spans="1:25" x14ac:dyDescent="0.2">
      <c r="A776" s="60" t="s">
        <v>3997</v>
      </c>
      <c r="B776" t="s">
        <v>3998</v>
      </c>
      <c r="C776" t="s">
        <v>3999</v>
      </c>
      <c r="D776" t="s">
        <v>1297</v>
      </c>
      <c r="F776">
        <v>301418</v>
      </c>
      <c r="J776">
        <v>1</v>
      </c>
      <c r="L776" t="s">
        <v>4000</v>
      </c>
      <c r="M776" t="s">
        <v>906</v>
      </c>
      <c r="N776" t="s">
        <v>876</v>
      </c>
      <c r="O776" t="s">
        <v>1032</v>
      </c>
      <c r="P776" t="s">
        <v>1033</v>
      </c>
      <c r="T776">
        <v>10000</v>
      </c>
      <c r="U776" t="s">
        <v>0</v>
      </c>
      <c r="V776">
        <v>10000</v>
      </c>
      <c r="W776" t="s">
        <v>0</v>
      </c>
      <c r="X776">
        <v>0.13731260957728889</v>
      </c>
      <c r="Y776">
        <v>0.23432001756093868</v>
      </c>
    </row>
    <row r="777" spans="1:25" x14ac:dyDescent="0.2">
      <c r="A777" s="60" t="s">
        <v>4001</v>
      </c>
      <c r="B777" t="s">
        <v>4002</v>
      </c>
      <c r="C777" t="s">
        <v>4003</v>
      </c>
      <c r="D777" t="s">
        <v>1297</v>
      </c>
      <c r="F777">
        <v>301419</v>
      </c>
      <c r="J777">
        <v>1</v>
      </c>
      <c r="L777" t="s">
        <v>4004</v>
      </c>
      <c r="M777" t="s">
        <v>923</v>
      </c>
      <c r="N777" t="s">
        <v>876</v>
      </c>
      <c r="O777" t="s">
        <v>1032</v>
      </c>
      <c r="P777" t="s">
        <v>1033</v>
      </c>
    </row>
    <row r="778" spans="1:25" x14ac:dyDescent="0.2">
      <c r="A778" s="60" t="s">
        <v>4005</v>
      </c>
      <c r="B778" t="s">
        <v>4006</v>
      </c>
      <c r="C778" t="s">
        <v>4007</v>
      </c>
      <c r="D778" t="s">
        <v>1307</v>
      </c>
      <c r="F778">
        <v>301420</v>
      </c>
      <c r="J778">
        <v>1</v>
      </c>
      <c r="L778" t="s">
        <v>4008</v>
      </c>
      <c r="M778" t="s">
        <v>4009</v>
      </c>
      <c r="N778" t="s">
        <v>876</v>
      </c>
      <c r="O778" t="s">
        <v>1032</v>
      </c>
      <c r="P778" t="s">
        <v>1033</v>
      </c>
      <c r="T778">
        <v>10000</v>
      </c>
      <c r="U778">
        <v>10000</v>
      </c>
      <c r="V778">
        <v>10000</v>
      </c>
      <c r="W778">
        <v>10000</v>
      </c>
      <c r="X778">
        <v>0.19898007608515342</v>
      </c>
      <c r="Y778">
        <v>0.23910999111034248</v>
      </c>
    </row>
    <row r="779" spans="1:25" x14ac:dyDescent="0.2">
      <c r="A779" s="60" t="s">
        <v>4010</v>
      </c>
      <c r="B779" t="s">
        <v>4011</v>
      </c>
      <c r="C779" t="s">
        <v>4012</v>
      </c>
      <c r="D779" t="s">
        <v>1375</v>
      </c>
      <c r="F779">
        <v>301421</v>
      </c>
      <c r="J779">
        <v>1</v>
      </c>
      <c r="L779" t="s">
        <v>876</v>
      </c>
      <c r="M779" t="s">
        <v>876</v>
      </c>
      <c r="N779" t="s">
        <v>876</v>
      </c>
      <c r="O779" t="s">
        <v>876</v>
      </c>
      <c r="P779" t="s">
        <v>876</v>
      </c>
    </row>
    <row r="780" spans="1:25" x14ac:dyDescent="0.2">
      <c r="A780" s="60" t="s">
        <v>4013</v>
      </c>
      <c r="B780" t="s">
        <v>4014</v>
      </c>
      <c r="C780" t="s">
        <v>4015</v>
      </c>
      <c r="D780" t="s">
        <v>2969</v>
      </c>
      <c r="F780">
        <v>301422</v>
      </c>
      <c r="J780">
        <v>1</v>
      </c>
      <c r="L780" t="s">
        <v>876</v>
      </c>
      <c r="M780" t="s">
        <v>876</v>
      </c>
      <c r="N780" t="s">
        <v>876</v>
      </c>
      <c r="O780" t="s">
        <v>876</v>
      </c>
      <c r="P780" t="s">
        <v>876</v>
      </c>
    </row>
    <row r="781" spans="1:25" x14ac:dyDescent="0.2">
      <c r="A781" s="60" t="s">
        <v>4016</v>
      </c>
      <c r="B781" t="s">
        <v>4017</v>
      </c>
      <c r="C781" t="s">
        <v>4018</v>
      </c>
      <c r="D781" t="s">
        <v>2969</v>
      </c>
      <c r="F781">
        <v>301423</v>
      </c>
      <c r="J781">
        <v>1</v>
      </c>
      <c r="L781" t="s">
        <v>876</v>
      </c>
      <c r="M781" t="s">
        <v>876</v>
      </c>
      <c r="N781" t="s">
        <v>876</v>
      </c>
      <c r="O781" t="s">
        <v>876</v>
      </c>
      <c r="P781" t="s">
        <v>876</v>
      </c>
    </row>
    <row r="782" spans="1:25" x14ac:dyDescent="0.2">
      <c r="A782" s="60" t="s">
        <v>4019</v>
      </c>
      <c r="B782" t="s">
        <v>4020</v>
      </c>
      <c r="C782" t="s">
        <v>4021</v>
      </c>
      <c r="D782" t="s">
        <v>1517</v>
      </c>
      <c r="F782">
        <v>301424</v>
      </c>
      <c r="J782">
        <v>1</v>
      </c>
      <c r="L782" t="s">
        <v>876</v>
      </c>
      <c r="M782" t="s">
        <v>876</v>
      </c>
      <c r="N782" t="s">
        <v>876</v>
      </c>
      <c r="O782" t="s">
        <v>876</v>
      </c>
      <c r="P782" t="s">
        <v>876</v>
      </c>
    </row>
    <row r="783" spans="1:25" x14ac:dyDescent="0.2">
      <c r="A783" s="60" t="s">
        <v>4022</v>
      </c>
      <c r="B783" t="s">
        <v>4023</v>
      </c>
      <c r="C783" t="s">
        <v>4024</v>
      </c>
      <c r="D783" t="s">
        <v>1375</v>
      </c>
      <c r="F783">
        <v>301425</v>
      </c>
      <c r="J783">
        <v>1</v>
      </c>
      <c r="L783" t="s">
        <v>876</v>
      </c>
      <c r="M783" t="s">
        <v>876</v>
      </c>
      <c r="N783" t="s">
        <v>876</v>
      </c>
      <c r="O783" t="s">
        <v>876</v>
      </c>
      <c r="P783" t="s">
        <v>876</v>
      </c>
    </row>
    <row r="784" spans="1:25" x14ac:dyDescent="0.2">
      <c r="A784" s="60" t="s">
        <v>4025</v>
      </c>
      <c r="B784" t="s">
        <v>4026</v>
      </c>
      <c r="C784" t="s">
        <v>4027</v>
      </c>
      <c r="D784" t="s">
        <v>1318</v>
      </c>
      <c r="F784">
        <v>301426</v>
      </c>
      <c r="J784">
        <v>1</v>
      </c>
      <c r="L784" t="s">
        <v>4028</v>
      </c>
      <c r="M784" t="s">
        <v>4029</v>
      </c>
      <c r="N784" t="s">
        <v>876</v>
      </c>
      <c r="O784" t="s">
        <v>1032</v>
      </c>
      <c r="P784" t="s">
        <v>1033</v>
      </c>
      <c r="T784">
        <v>63.384108810000001</v>
      </c>
      <c r="U784">
        <v>2.3854772830000002</v>
      </c>
      <c r="V784">
        <v>91.593519294495962</v>
      </c>
      <c r="W784">
        <v>3.4763467167276119</v>
      </c>
      <c r="X784">
        <v>0.24293875591981712</v>
      </c>
      <c r="Y784">
        <v>0.90692849048771917</v>
      </c>
    </row>
    <row r="785" spans="1:25" x14ac:dyDescent="0.2">
      <c r="A785" s="60" t="s">
        <v>4030</v>
      </c>
      <c r="B785" t="s">
        <v>4031</v>
      </c>
      <c r="C785" t="s">
        <v>4032</v>
      </c>
      <c r="D785" t="s">
        <v>1375</v>
      </c>
      <c r="F785">
        <v>301427</v>
      </c>
      <c r="J785">
        <v>1</v>
      </c>
      <c r="L785" t="s">
        <v>876</v>
      </c>
      <c r="M785" t="s">
        <v>876</v>
      </c>
      <c r="N785" t="s">
        <v>876</v>
      </c>
      <c r="O785" t="s">
        <v>876</v>
      </c>
      <c r="P785" t="s">
        <v>876</v>
      </c>
    </row>
    <row r="786" spans="1:25" x14ac:dyDescent="0.2">
      <c r="A786" s="60" t="s">
        <v>4033</v>
      </c>
      <c r="B786" t="s">
        <v>4034</v>
      </c>
      <c r="C786" t="s">
        <v>4035</v>
      </c>
      <c r="D786" t="s">
        <v>4036</v>
      </c>
      <c r="F786">
        <v>301428</v>
      </c>
      <c r="J786">
        <v>1</v>
      </c>
      <c r="L786" t="s">
        <v>876</v>
      </c>
      <c r="M786" t="s">
        <v>876</v>
      </c>
      <c r="N786" t="s">
        <v>876</v>
      </c>
      <c r="O786" t="s">
        <v>876</v>
      </c>
      <c r="P786" t="s">
        <v>876</v>
      </c>
    </row>
    <row r="787" spans="1:25" x14ac:dyDescent="0.2">
      <c r="A787" s="60" t="s">
        <v>4037</v>
      </c>
      <c r="B787" t="s">
        <v>4038</v>
      </c>
      <c r="C787" t="s">
        <v>4039</v>
      </c>
      <c r="D787" t="s">
        <v>1297</v>
      </c>
      <c r="F787">
        <v>301429</v>
      </c>
      <c r="J787">
        <v>1</v>
      </c>
      <c r="L787" t="s">
        <v>4040</v>
      </c>
      <c r="M787" t="s">
        <v>4041</v>
      </c>
      <c r="N787" t="s">
        <v>876</v>
      </c>
      <c r="O787" t="s">
        <v>671</v>
      </c>
      <c r="P787" t="s">
        <v>2164</v>
      </c>
      <c r="T787">
        <v>10000</v>
      </c>
      <c r="U787">
        <v>83.247250320000006</v>
      </c>
      <c r="V787">
        <v>10000</v>
      </c>
      <c r="W787">
        <v>293.38972231639502</v>
      </c>
      <c r="X787">
        <v>3.654017115078468E-2</v>
      </c>
      <c r="Y787">
        <v>8.6579162020605324E-2</v>
      </c>
    </row>
    <row r="788" spans="1:25" x14ac:dyDescent="0.2">
      <c r="A788" s="60" t="s">
        <v>4042</v>
      </c>
      <c r="B788" t="s">
        <v>4043</v>
      </c>
      <c r="C788" t="s">
        <v>4044</v>
      </c>
      <c r="D788" t="s">
        <v>4045</v>
      </c>
      <c r="F788">
        <v>301430</v>
      </c>
      <c r="J788">
        <v>1</v>
      </c>
      <c r="L788" t="s">
        <v>876</v>
      </c>
      <c r="M788" t="s">
        <v>876</v>
      </c>
      <c r="N788" t="s">
        <v>876</v>
      </c>
      <c r="O788" t="s">
        <v>876</v>
      </c>
      <c r="P788" t="s">
        <v>876</v>
      </c>
    </row>
    <row r="789" spans="1:25" x14ac:dyDescent="0.2">
      <c r="A789" s="60" t="s">
        <v>4046</v>
      </c>
      <c r="B789" t="s">
        <v>4047</v>
      </c>
      <c r="C789" t="s">
        <v>4048</v>
      </c>
      <c r="D789" t="s">
        <v>1351</v>
      </c>
      <c r="F789">
        <v>301431</v>
      </c>
      <c r="J789">
        <v>1</v>
      </c>
      <c r="L789" t="s">
        <v>876</v>
      </c>
      <c r="M789" t="s">
        <v>876</v>
      </c>
      <c r="N789" t="s">
        <v>876</v>
      </c>
      <c r="O789" t="s">
        <v>876</v>
      </c>
      <c r="P789" t="s">
        <v>876</v>
      </c>
    </row>
    <row r="790" spans="1:25" x14ac:dyDescent="0.2">
      <c r="A790" s="60" t="s">
        <v>4049</v>
      </c>
      <c r="B790" t="s">
        <v>4050</v>
      </c>
      <c r="C790" t="s">
        <v>4051</v>
      </c>
      <c r="D790" t="s">
        <v>1351</v>
      </c>
      <c r="F790">
        <v>301432</v>
      </c>
      <c r="J790">
        <v>1</v>
      </c>
      <c r="L790" t="s">
        <v>876</v>
      </c>
      <c r="M790" t="s">
        <v>876</v>
      </c>
      <c r="N790" t="s">
        <v>876</v>
      </c>
      <c r="O790" t="s">
        <v>876</v>
      </c>
      <c r="P790" t="s">
        <v>876</v>
      </c>
    </row>
    <row r="791" spans="1:25" x14ac:dyDescent="0.2">
      <c r="A791" s="60" t="s">
        <v>4052</v>
      </c>
      <c r="B791" t="s">
        <v>4053</v>
      </c>
      <c r="C791" t="s">
        <v>4054</v>
      </c>
      <c r="D791" t="s">
        <v>4055</v>
      </c>
      <c r="F791">
        <v>301433</v>
      </c>
      <c r="J791">
        <v>1</v>
      </c>
      <c r="L791" t="s">
        <v>876</v>
      </c>
      <c r="M791" t="s">
        <v>876</v>
      </c>
      <c r="N791" t="s">
        <v>876</v>
      </c>
      <c r="O791" t="s">
        <v>876</v>
      </c>
      <c r="P791" t="s">
        <v>876</v>
      </c>
    </row>
    <row r="792" spans="1:25" x14ac:dyDescent="0.2">
      <c r="A792" s="60" t="s">
        <v>4056</v>
      </c>
      <c r="B792" t="s">
        <v>4057</v>
      </c>
      <c r="C792" t="s">
        <v>4058</v>
      </c>
      <c r="D792" t="s">
        <v>1351</v>
      </c>
      <c r="F792">
        <v>301434</v>
      </c>
      <c r="J792">
        <v>1</v>
      </c>
      <c r="L792" t="s">
        <v>876</v>
      </c>
      <c r="M792" t="s">
        <v>876</v>
      </c>
      <c r="N792" t="s">
        <v>876</v>
      </c>
      <c r="O792" t="s">
        <v>876</v>
      </c>
      <c r="P792" t="s">
        <v>876</v>
      </c>
    </row>
    <row r="793" spans="1:25" x14ac:dyDescent="0.2">
      <c r="A793" s="60" t="s">
        <v>4059</v>
      </c>
      <c r="B793" t="s">
        <v>4060</v>
      </c>
      <c r="C793" t="s">
        <v>4061</v>
      </c>
      <c r="D793" t="s">
        <v>3030</v>
      </c>
      <c r="F793">
        <v>301435</v>
      </c>
      <c r="J793">
        <v>1</v>
      </c>
      <c r="L793" t="s">
        <v>876</v>
      </c>
      <c r="M793" t="s">
        <v>876</v>
      </c>
      <c r="N793" t="s">
        <v>876</v>
      </c>
      <c r="O793" t="s">
        <v>876</v>
      </c>
      <c r="P793" t="s">
        <v>876</v>
      </c>
    </row>
    <row r="794" spans="1:25" x14ac:dyDescent="0.2">
      <c r="A794" s="60" t="s">
        <v>4062</v>
      </c>
      <c r="B794" t="s">
        <v>4063</v>
      </c>
      <c r="C794" t="s">
        <v>4064</v>
      </c>
      <c r="D794" t="s">
        <v>4065</v>
      </c>
      <c r="F794">
        <v>301436</v>
      </c>
      <c r="J794">
        <v>1</v>
      </c>
      <c r="L794" t="s">
        <v>876</v>
      </c>
      <c r="M794" t="s">
        <v>876</v>
      </c>
      <c r="N794" t="s">
        <v>876</v>
      </c>
      <c r="O794" t="s">
        <v>876</v>
      </c>
      <c r="P794" t="s">
        <v>876</v>
      </c>
    </row>
    <row r="795" spans="1:25" x14ac:dyDescent="0.2">
      <c r="A795" s="60" t="s">
        <v>4066</v>
      </c>
      <c r="B795" t="s">
        <v>4067</v>
      </c>
      <c r="C795" t="s">
        <v>4068</v>
      </c>
      <c r="D795" t="s">
        <v>1365</v>
      </c>
      <c r="F795">
        <v>301437</v>
      </c>
      <c r="J795">
        <v>1</v>
      </c>
      <c r="L795" t="s">
        <v>4069</v>
      </c>
      <c r="M795" t="s">
        <v>4070</v>
      </c>
      <c r="N795" t="s">
        <v>876</v>
      </c>
      <c r="O795" t="s">
        <v>1032</v>
      </c>
      <c r="P795" t="s">
        <v>1033</v>
      </c>
      <c r="T795">
        <v>67.305680170000002</v>
      </c>
      <c r="U795">
        <v>10000</v>
      </c>
      <c r="V795">
        <v>75.263725601541253</v>
      </c>
      <c r="W795">
        <v>10000</v>
      </c>
      <c r="X795">
        <v>0.12812214145455963</v>
      </c>
      <c r="Y795">
        <v>0.16474129864695325</v>
      </c>
    </row>
    <row r="796" spans="1:25" x14ac:dyDescent="0.2">
      <c r="A796" s="60" t="s">
        <v>4071</v>
      </c>
      <c r="B796" t="s">
        <v>4072</v>
      </c>
      <c r="C796" t="s">
        <v>4073</v>
      </c>
      <c r="D796" t="s">
        <v>4074</v>
      </c>
      <c r="F796">
        <v>301438</v>
      </c>
      <c r="J796">
        <v>1</v>
      </c>
      <c r="L796" t="s">
        <v>876</v>
      </c>
      <c r="M796" t="s">
        <v>876</v>
      </c>
      <c r="N796" t="s">
        <v>876</v>
      </c>
      <c r="O796" t="s">
        <v>876</v>
      </c>
      <c r="P796" t="s">
        <v>876</v>
      </c>
    </row>
    <row r="797" spans="1:25" x14ac:dyDescent="0.2">
      <c r="A797" s="60" t="s">
        <v>4075</v>
      </c>
      <c r="B797" t="s">
        <v>4076</v>
      </c>
      <c r="C797" t="s">
        <v>4077</v>
      </c>
      <c r="D797" t="s">
        <v>4036</v>
      </c>
      <c r="F797">
        <v>301439</v>
      </c>
      <c r="J797">
        <v>1</v>
      </c>
      <c r="L797" t="s">
        <v>876</v>
      </c>
      <c r="M797" t="s">
        <v>876</v>
      </c>
      <c r="N797" t="s">
        <v>876</v>
      </c>
      <c r="O797" t="s">
        <v>876</v>
      </c>
      <c r="P797" t="s">
        <v>876</v>
      </c>
    </row>
    <row r="798" spans="1:25" x14ac:dyDescent="0.2">
      <c r="A798" s="60" t="s">
        <v>4078</v>
      </c>
      <c r="B798" t="s">
        <v>4079</v>
      </c>
      <c r="C798" t="s">
        <v>4080</v>
      </c>
      <c r="D798" t="s">
        <v>4081</v>
      </c>
      <c r="F798">
        <v>301440</v>
      </c>
      <c r="J798">
        <v>1</v>
      </c>
      <c r="L798" t="s">
        <v>876</v>
      </c>
      <c r="M798" t="s">
        <v>876</v>
      </c>
      <c r="N798" t="s">
        <v>876</v>
      </c>
      <c r="O798" t="s">
        <v>876</v>
      </c>
      <c r="P798" t="s">
        <v>876</v>
      </c>
    </row>
    <row r="799" spans="1:25" x14ac:dyDescent="0.2">
      <c r="A799" s="60" t="s">
        <v>4082</v>
      </c>
      <c r="B799" t="s">
        <v>4083</v>
      </c>
      <c r="C799" t="s">
        <v>4084</v>
      </c>
      <c r="D799" t="s">
        <v>782</v>
      </c>
      <c r="F799">
        <v>301441</v>
      </c>
      <c r="J799">
        <v>1</v>
      </c>
      <c r="L799" t="s">
        <v>876</v>
      </c>
      <c r="M799" t="s">
        <v>876</v>
      </c>
      <c r="N799" t="s">
        <v>876</v>
      </c>
      <c r="O799" t="s">
        <v>876</v>
      </c>
      <c r="P799" t="s">
        <v>876</v>
      </c>
    </row>
    <row r="800" spans="1:25" x14ac:dyDescent="0.2">
      <c r="A800" s="60" t="s">
        <v>4085</v>
      </c>
      <c r="B800" t="s">
        <v>4086</v>
      </c>
      <c r="C800" t="s">
        <v>4087</v>
      </c>
      <c r="D800" t="s">
        <v>1514</v>
      </c>
      <c r="F800">
        <v>301442</v>
      </c>
      <c r="J800">
        <v>1</v>
      </c>
      <c r="L800" t="s">
        <v>876</v>
      </c>
      <c r="M800" t="s">
        <v>876</v>
      </c>
      <c r="N800" t="s">
        <v>876</v>
      </c>
      <c r="O800" t="s">
        <v>876</v>
      </c>
      <c r="P800" t="s">
        <v>876</v>
      </c>
    </row>
    <row r="801" spans="1:25" x14ac:dyDescent="0.2">
      <c r="A801" s="60" t="s">
        <v>4088</v>
      </c>
      <c r="B801" t="s">
        <v>4089</v>
      </c>
      <c r="C801" t="s">
        <v>4090</v>
      </c>
      <c r="D801" t="s">
        <v>1297</v>
      </c>
      <c r="F801">
        <v>301443</v>
      </c>
      <c r="J801">
        <v>1</v>
      </c>
      <c r="L801" t="s">
        <v>4091</v>
      </c>
      <c r="M801" t="s">
        <v>4092</v>
      </c>
      <c r="N801" t="s">
        <v>876</v>
      </c>
      <c r="O801" t="s">
        <v>1032</v>
      </c>
      <c r="P801" t="s">
        <v>1033</v>
      </c>
      <c r="Q801">
        <v>1</v>
      </c>
      <c r="S801">
        <v>1</v>
      </c>
      <c r="T801">
        <v>93.741131589999995</v>
      </c>
      <c r="U801">
        <v>69.020089679999998</v>
      </c>
      <c r="V801">
        <v>163.17325841028071</v>
      </c>
      <c r="W801">
        <v>98.288803852528076</v>
      </c>
      <c r="X801">
        <v>8.4834467118175924E-2</v>
      </c>
      <c r="Y801">
        <v>0.1471692258857831</v>
      </c>
    </row>
    <row r="802" spans="1:25" x14ac:dyDescent="0.2">
      <c r="A802" s="60" t="s">
        <v>4093</v>
      </c>
      <c r="B802" t="s">
        <v>4094</v>
      </c>
      <c r="C802" t="s">
        <v>4095</v>
      </c>
      <c r="D802" t="s">
        <v>1514</v>
      </c>
      <c r="F802">
        <v>301444</v>
      </c>
      <c r="J802">
        <v>1</v>
      </c>
      <c r="L802" t="s">
        <v>876</v>
      </c>
      <c r="M802" t="s">
        <v>876</v>
      </c>
      <c r="N802" t="s">
        <v>876</v>
      </c>
      <c r="O802" t="s">
        <v>876</v>
      </c>
      <c r="P802" t="s">
        <v>876</v>
      </c>
    </row>
    <row r="803" spans="1:25" x14ac:dyDescent="0.2">
      <c r="A803" s="60" t="s">
        <v>4096</v>
      </c>
      <c r="B803" t="s">
        <v>4097</v>
      </c>
      <c r="C803" t="s">
        <v>4098</v>
      </c>
      <c r="D803" t="s">
        <v>2194</v>
      </c>
      <c r="F803">
        <v>301445</v>
      </c>
      <c r="J803">
        <v>1</v>
      </c>
      <c r="L803" t="s">
        <v>876</v>
      </c>
      <c r="M803" t="s">
        <v>876</v>
      </c>
      <c r="N803" t="s">
        <v>876</v>
      </c>
      <c r="O803" t="s">
        <v>876</v>
      </c>
      <c r="P803" t="s">
        <v>876</v>
      </c>
    </row>
    <row r="804" spans="1:25" x14ac:dyDescent="0.2">
      <c r="A804" s="60" t="s">
        <v>4099</v>
      </c>
      <c r="B804" t="s">
        <v>4100</v>
      </c>
      <c r="C804" t="s">
        <v>4101</v>
      </c>
      <c r="D804" t="s">
        <v>4102</v>
      </c>
      <c r="F804">
        <v>301446</v>
      </c>
      <c r="J804">
        <v>1</v>
      </c>
      <c r="L804" t="s">
        <v>876</v>
      </c>
      <c r="M804" t="s">
        <v>876</v>
      </c>
      <c r="N804" t="s">
        <v>876</v>
      </c>
      <c r="O804" t="s">
        <v>876</v>
      </c>
      <c r="P804" t="s">
        <v>876</v>
      </c>
    </row>
    <row r="805" spans="1:25" x14ac:dyDescent="0.2">
      <c r="A805" s="60" t="s">
        <v>4103</v>
      </c>
      <c r="B805" t="s">
        <v>4104</v>
      </c>
      <c r="C805" t="s">
        <v>4105</v>
      </c>
      <c r="D805" t="s">
        <v>1997</v>
      </c>
      <c r="F805">
        <v>301447</v>
      </c>
      <c r="J805">
        <v>1</v>
      </c>
      <c r="L805" t="s">
        <v>876</v>
      </c>
      <c r="M805" t="s">
        <v>876</v>
      </c>
      <c r="N805" t="s">
        <v>876</v>
      </c>
      <c r="O805" t="s">
        <v>876</v>
      </c>
      <c r="P805" t="s">
        <v>876</v>
      </c>
    </row>
    <row r="806" spans="1:25" x14ac:dyDescent="0.2">
      <c r="A806" s="60" t="s">
        <v>4106</v>
      </c>
      <c r="B806" t="s">
        <v>4107</v>
      </c>
      <c r="C806" t="s">
        <v>4108</v>
      </c>
      <c r="D806" t="s">
        <v>866</v>
      </c>
      <c r="F806">
        <v>301448</v>
      </c>
      <c r="J806">
        <v>1</v>
      </c>
      <c r="L806" t="s">
        <v>876</v>
      </c>
      <c r="M806" t="s">
        <v>876</v>
      </c>
      <c r="N806" t="s">
        <v>876</v>
      </c>
      <c r="O806" t="s">
        <v>876</v>
      </c>
      <c r="P806" t="s">
        <v>876</v>
      </c>
    </row>
    <row r="807" spans="1:25" x14ac:dyDescent="0.2">
      <c r="A807" s="60" t="s">
        <v>4109</v>
      </c>
      <c r="B807" t="s">
        <v>4110</v>
      </c>
      <c r="C807" t="s">
        <v>4111</v>
      </c>
      <c r="D807" t="s">
        <v>4112</v>
      </c>
      <c r="F807">
        <v>301449</v>
      </c>
      <c r="J807">
        <v>1</v>
      </c>
      <c r="L807" t="s">
        <v>876</v>
      </c>
      <c r="M807" t="s">
        <v>876</v>
      </c>
      <c r="N807" t="s">
        <v>876</v>
      </c>
      <c r="O807" t="s">
        <v>876</v>
      </c>
      <c r="P807" t="s">
        <v>876</v>
      </c>
    </row>
    <row r="808" spans="1:25" x14ac:dyDescent="0.2">
      <c r="A808" s="60" t="s">
        <v>4113</v>
      </c>
      <c r="B808" t="s">
        <v>4114</v>
      </c>
      <c r="C808" t="s">
        <v>4115</v>
      </c>
      <c r="D808" t="s">
        <v>4102</v>
      </c>
      <c r="F808">
        <v>301450</v>
      </c>
      <c r="J808">
        <v>1</v>
      </c>
      <c r="L808" t="s">
        <v>876</v>
      </c>
      <c r="M808" t="s">
        <v>876</v>
      </c>
      <c r="N808" t="s">
        <v>876</v>
      </c>
      <c r="O808" t="s">
        <v>876</v>
      </c>
      <c r="P808" t="s">
        <v>876</v>
      </c>
    </row>
    <row r="809" spans="1:25" x14ac:dyDescent="0.2">
      <c r="A809" s="60" t="s">
        <v>4116</v>
      </c>
      <c r="B809" t="s">
        <v>4117</v>
      </c>
      <c r="C809" t="s">
        <v>4118</v>
      </c>
      <c r="D809" t="s">
        <v>2969</v>
      </c>
      <c r="F809">
        <v>301451</v>
      </c>
      <c r="J809">
        <v>1</v>
      </c>
      <c r="L809" t="s">
        <v>876</v>
      </c>
      <c r="M809" t="s">
        <v>876</v>
      </c>
      <c r="N809" t="s">
        <v>876</v>
      </c>
      <c r="O809" t="s">
        <v>876</v>
      </c>
      <c r="P809" t="s">
        <v>876</v>
      </c>
    </row>
    <row r="810" spans="1:25" x14ac:dyDescent="0.2">
      <c r="A810" s="60" t="s">
        <v>4119</v>
      </c>
      <c r="B810" t="s">
        <v>4120</v>
      </c>
      <c r="C810" t="s">
        <v>4121</v>
      </c>
      <c r="D810" t="s">
        <v>1375</v>
      </c>
      <c r="F810">
        <v>301452</v>
      </c>
      <c r="J810">
        <v>1</v>
      </c>
      <c r="L810" t="s">
        <v>876</v>
      </c>
      <c r="M810" t="s">
        <v>876</v>
      </c>
      <c r="N810" t="s">
        <v>876</v>
      </c>
      <c r="O810" t="s">
        <v>876</v>
      </c>
      <c r="P810" t="s">
        <v>876</v>
      </c>
    </row>
    <row r="811" spans="1:25" x14ac:dyDescent="0.2">
      <c r="A811" s="60" t="s">
        <v>4122</v>
      </c>
      <c r="B811" t="s">
        <v>4123</v>
      </c>
      <c r="C811" t="s">
        <v>4124</v>
      </c>
      <c r="D811" t="s">
        <v>782</v>
      </c>
      <c r="F811">
        <v>301453</v>
      </c>
      <c r="J811">
        <v>1</v>
      </c>
      <c r="L811" t="s">
        <v>876</v>
      </c>
      <c r="M811" t="s">
        <v>876</v>
      </c>
      <c r="N811" t="s">
        <v>876</v>
      </c>
      <c r="O811" t="s">
        <v>876</v>
      </c>
      <c r="P811" t="s">
        <v>876</v>
      </c>
    </row>
    <row r="812" spans="1:25" x14ac:dyDescent="0.2">
      <c r="A812" s="60" t="s">
        <v>4125</v>
      </c>
      <c r="B812" t="s">
        <v>4126</v>
      </c>
      <c r="C812" t="s">
        <v>4127</v>
      </c>
      <c r="D812" t="s">
        <v>1514</v>
      </c>
      <c r="F812">
        <v>301454</v>
      </c>
      <c r="J812">
        <v>1</v>
      </c>
      <c r="L812" t="s">
        <v>876</v>
      </c>
      <c r="M812" t="s">
        <v>876</v>
      </c>
      <c r="N812" t="s">
        <v>876</v>
      </c>
      <c r="O812" t="s">
        <v>876</v>
      </c>
      <c r="P812" t="s">
        <v>876</v>
      </c>
    </row>
    <row r="813" spans="1:25" x14ac:dyDescent="0.2">
      <c r="A813" s="60" t="s">
        <v>4128</v>
      </c>
      <c r="B813" t="s">
        <v>4129</v>
      </c>
      <c r="C813" t="s">
        <v>4130</v>
      </c>
      <c r="D813" t="s">
        <v>1514</v>
      </c>
      <c r="F813">
        <v>301455</v>
      </c>
      <c r="J813">
        <v>1</v>
      </c>
      <c r="L813" t="s">
        <v>876</v>
      </c>
      <c r="M813" t="s">
        <v>876</v>
      </c>
      <c r="N813" t="s">
        <v>876</v>
      </c>
      <c r="O813" t="s">
        <v>876</v>
      </c>
      <c r="P813" t="s">
        <v>876</v>
      </c>
    </row>
    <row r="814" spans="1:25" x14ac:dyDescent="0.2">
      <c r="A814" s="60" t="s">
        <v>4131</v>
      </c>
      <c r="B814" t="s">
        <v>4132</v>
      </c>
      <c r="C814" t="s">
        <v>4133</v>
      </c>
      <c r="D814" t="s">
        <v>782</v>
      </c>
      <c r="F814">
        <v>301456</v>
      </c>
      <c r="J814">
        <v>1</v>
      </c>
      <c r="L814" t="s">
        <v>876</v>
      </c>
      <c r="M814" t="s">
        <v>876</v>
      </c>
      <c r="N814" t="s">
        <v>876</v>
      </c>
      <c r="O814" t="s">
        <v>876</v>
      </c>
      <c r="P814" t="s">
        <v>876</v>
      </c>
    </row>
    <row r="815" spans="1:25" x14ac:dyDescent="0.2">
      <c r="A815" s="60" t="s">
        <v>4134</v>
      </c>
      <c r="B815" t="s">
        <v>4135</v>
      </c>
      <c r="C815" t="s">
        <v>4136</v>
      </c>
      <c r="D815" t="s">
        <v>1297</v>
      </c>
      <c r="F815">
        <v>301457</v>
      </c>
      <c r="J815">
        <v>1</v>
      </c>
      <c r="L815" t="s">
        <v>4137</v>
      </c>
      <c r="M815" t="s">
        <v>4138</v>
      </c>
      <c r="N815" t="s">
        <v>876</v>
      </c>
      <c r="O815" t="s">
        <v>1032</v>
      </c>
      <c r="P815" t="s">
        <v>1033</v>
      </c>
      <c r="T815">
        <v>10000</v>
      </c>
      <c r="U815">
        <v>10000</v>
      </c>
      <c r="V815">
        <v>10000</v>
      </c>
      <c r="W815">
        <v>10000</v>
      </c>
      <c r="X815">
        <v>0.14136124987378607</v>
      </c>
      <c r="Y815">
        <v>0.16230363866473435</v>
      </c>
    </row>
    <row r="816" spans="1:25" x14ac:dyDescent="0.2">
      <c r="A816" s="60" t="s">
        <v>4139</v>
      </c>
      <c r="B816" t="s">
        <v>4140</v>
      </c>
      <c r="C816" t="s">
        <v>4141</v>
      </c>
      <c r="D816" t="s">
        <v>2969</v>
      </c>
      <c r="F816">
        <v>301458</v>
      </c>
      <c r="J816">
        <v>1</v>
      </c>
      <c r="L816" t="s">
        <v>876</v>
      </c>
      <c r="M816" t="s">
        <v>876</v>
      </c>
      <c r="N816" t="s">
        <v>876</v>
      </c>
      <c r="O816" t="s">
        <v>876</v>
      </c>
      <c r="P816" t="s">
        <v>876</v>
      </c>
    </row>
    <row r="817" spans="1:25" x14ac:dyDescent="0.2">
      <c r="A817" s="60" t="s">
        <v>4142</v>
      </c>
      <c r="B817" t="s">
        <v>4143</v>
      </c>
      <c r="C817" t="s">
        <v>4144</v>
      </c>
      <c r="D817" t="s">
        <v>1517</v>
      </c>
      <c r="F817">
        <v>301459</v>
      </c>
      <c r="J817">
        <v>1</v>
      </c>
      <c r="L817" t="s">
        <v>876</v>
      </c>
      <c r="M817" t="s">
        <v>876</v>
      </c>
      <c r="N817" t="s">
        <v>876</v>
      </c>
      <c r="O817" t="s">
        <v>876</v>
      </c>
      <c r="P817" t="s">
        <v>876</v>
      </c>
    </row>
    <row r="818" spans="1:25" x14ac:dyDescent="0.2">
      <c r="A818" s="60" t="s">
        <v>4145</v>
      </c>
      <c r="B818" t="s">
        <v>4146</v>
      </c>
      <c r="C818" t="s">
        <v>4147</v>
      </c>
      <c r="D818" t="s">
        <v>1517</v>
      </c>
      <c r="F818">
        <v>301460</v>
      </c>
      <c r="J818">
        <v>1</v>
      </c>
      <c r="L818" t="s">
        <v>876</v>
      </c>
      <c r="M818" t="s">
        <v>876</v>
      </c>
      <c r="N818" t="s">
        <v>876</v>
      </c>
      <c r="O818" t="s">
        <v>876</v>
      </c>
      <c r="P818" t="s">
        <v>876</v>
      </c>
    </row>
    <row r="819" spans="1:25" x14ac:dyDescent="0.2">
      <c r="A819" s="60" t="s">
        <v>4148</v>
      </c>
      <c r="B819" t="s">
        <v>4149</v>
      </c>
      <c r="C819" t="s">
        <v>4150</v>
      </c>
      <c r="D819" t="s">
        <v>1997</v>
      </c>
      <c r="F819">
        <v>301461</v>
      </c>
      <c r="J819">
        <v>1</v>
      </c>
      <c r="L819" t="s">
        <v>876</v>
      </c>
      <c r="M819" t="s">
        <v>876</v>
      </c>
      <c r="N819" t="s">
        <v>876</v>
      </c>
      <c r="O819" t="s">
        <v>876</v>
      </c>
      <c r="P819" t="s">
        <v>876</v>
      </c>
    </row>
    <row r="820" spans="1:25" x14ac:dyDescent="0.2">
      <c r="A820" s="60" t="s">
        <v>4151</v>
      </c>
      <c r="B820" t="s">
        <v>4152</v>
      </c>
      <c r="C820" t="s">
        <v>4153</v>
      </c>
      <c r="D820" t="s">
        <v>1375</v>
      </c>
      <c r="F820">
        <v>301462</v>
      </c>
      <c r="J820">
        <v>1</v>
      </c>
      <c r="L820" t="s">
        <v>876</v>
      </c>
      <c r="M820" t="s">
        <v>876</v>
      </c>
      <c r="N820" t="s">
        <v>876</v>
      </c>
      <c r="O820" t="s">
        <v>876</v>
      </c>
      <c r="P820" t="s">
        <v>876</v>
      </c>
    </row>
    <row r="821" spans="1:25" x14ac:dyDescent="0.2">
      <c r="A821" s="60" t="s">
        <v>4154</v>
      </c>
      <c r="B821" t="s">
        <v>4155</v>
      </c>
      <c r="C821" t="s">
        <v>4156</v>
      </c>
      <c r="D821" t="s">
        <v>1517</v>
      </c>
      <c r="F821">
        <v>301463</v>
      </c>
      <c r="J821">
        <v>1</v>
      </c>
      <c r="L821" t="s">
        <v>876</v>
      </c>
      <c r="M821" t="s">
        <v>876</v>
      </c>
      <c r="N821" t="s">
        <v>876</v>
      </c>
      <c r="O821" t="s">
        <v>876</v>
      </c>
      <c r="P821" t="s">
        <v>876</v>
      </c>
    </row>
    <row r="822" spans="1:25" x14ac:dyDescent="0.2">
      <c r="A822" s="60" t="s">
        <v>4157</v>
      </c>
      <c r="B822" t="s">
        <v>4158</v>
      </c>
      <c r="C822" t="s">
        <v>4159</v>
      </c>
      <c r="D822" t="s">
        <v>1514</v>
      </c>
      <c r="F822">
        <v>301464</v>
      </c>
      <c r="J822">
        <v>1</v>
      </c>
      <c r="L822" t="s">
        <v>876</v>
      </c>
      <c r="M822" t="s">
        <v>876</v>
      </c>
      <c r="N822" t="s">
        <v>876</v>
      </c>
      <c r="O822" t="s">
        <v>876</v>
      </c>
      <c r="P822" t="s">
        <v>876</v>
      </c>
    </row>
    <row r="823" spans="1:25" x14ac:dyDescent="0.2">
      <c r="A823" s="60" t="s">
        <v>4160</v>
      </c>
      <c r="B823" t="s">
        <v>4161</v>
      </c>
      <c r="C823" t="s">
        <v>4162</v>
      </c>
      <c r="D823" t="s">
        <v>1375</v>
      </c>
      <c r="F823">
        <v>301465</v>
      </c>
      <c r="J823">
        <v>1</v>
      </c>
      <c r="L823" t="s">
        <v>876</v>
      </c>
      <c r="M823" t="s">
        <v>876</v>
      </c>
      <c r="N823" t="s">
        <v>876</v>
      </c>
      <c r="O823" t="s">
        <v>876</v>
      </c>
      <c r="P823" t="s">
        <v>876</v>
      </c>
    </row>
    <row r="824" spans="1:25" x14ac:dyDescent="0.2">
      <c r="A824" s="60" t="s">
        <v>4163</v>
      </c>
      <c r="B824" t="s">
        <v>4164</v>
      </c>
      <c r="C824" t="s">
        <v>4165</v>
      </c>
      <c r="D824" t="s">
        <v>1517</v>
      </c>
      <c r="F824">
        <v>301466</v>
      </c>
      <c r="J824">
        <v>1</v>
      </c>
      <c r="L824" t="s">
        <v>876</v>
      </c>
      <c r="M824" t="s">
        <v>876</v>
      </c>
      <c r="N824" t="s">
        <v>876</v>
      </c>
      <c r="O824" t="s">
        <v>876</v>
      </c>
      <c r="P824" t="s">
        <v>876</v>
      </c>
    </row>
    <row r="825" spans="1:25" x14ac:dyDescent="0.2">
      <c r="A825" s="60" t="s">
        <v>4166</v>
      </c>
      <c r="B825" t="s">
        <v>4167</v>
      </c>
      <c r="C825" t="s">
        <v>4168</v>
      </c>
      <c r="D825" t="s">
        <v>4112</v>
      </c>
      <c r="F825">
        <v>301467</v>
      </c>
      <c r="J825">
        <v>1</v>
      </c>
      <c r="L825" t="s">
        <v>876</v>
      </c>
      <c r="M825" t="s">
        <v>876</v>
      </c>
      <c r="N825" t="s">
        <v>876</v>
      </c>
      <c r="O825" t="s">
        <v>876</v>
      </c>
      <c r="P825" t="s">
        <v>876</v>
      </c>
    </row>
    <row r="826" spans="1:25" x14ac:dyDescent="0.2">
      <c r="A826" s="60" t="s">
        <v>4169</v>
      </c>
      <c r="B826" t="s">
        <v>4170</v>
      </c>
      <c r="C826" t="s">
        <v>4171</v>
      </c>
      <c r="D826" t="s">
        <v>866</v>
      </c>
      <c r="F826">
        <v>301468</v>
      </c>
      <c r="J826">
        <v>1</v>
      </c>
      <c r="L826" t="s">
        <v>876</v>
      </c>
      <c r="M826" t="s">
        <v>876</v>
      </c>
      <c r="N826" t="s">
        <v>876</v>
      </c>
      <c r="O826" t="s">
        <v>876</v>
      </c>
      <c r="P826" t="s">
        <v>876</v>
      </c>
    </row>
    <row r="827" spans="1:25" x14ac:dyDescent="0.2">
      <c r="A827" s="60" t="s">
        <v>4172</v>
      </c>
      <c r="B827" t="s">
        <v>4173</v>
      </c>
      <c r="C827" t="s">
        <v>4174</v>
      </c>
      <c r="D827" t="s">
        <v>1514</v>
      </c>
      <c r="F827">
        <v>301474</v>
      </c>
      <c r="J827">
        <v>1</v>
      </c>
      <c r="L827" t="s">
        <v>876</v>
      </c>
      <c r="M827" t="s">
        <v>876</v>
      </c>
      <c r="N827" t="s">
        <v>876</v>
      </c>
      <c r="O827" t="s">
        <v>876</v>
      </c>
      <c r="P827" t="s">
        <v>876</v>
      </c>
    </row>
    <row r="828" spans="1:25" x14ac:dyDescent="0.2">
      <c r="A828" s="60" t="s">
        <v>4175</v>
      </c>
      <c r="B828" t="s">
        <v>4176</v>
      </c>
      <c r="C828" t="s">
        <v>4177</v>
      </c>
      <c r="D828" t="s">
        <v>1514</v>
      </c>
      <c r="F828">
        <v>301475</v>
      </c>
      <c r="J828">
        <v>1</v>
      </c>
      <c r="L828" t="s">
        <v>876</v>
      </c>
      <c r="M828" t="s">
        <v>876</v>
      </c>
      <c r="N828" t="s">
        <v>876</v>
      </c>
      <c r="O828" t="s">
        <v>876</v>
      </c>
      <c r="P828" t="s">
        <v>876</v>
      </c>
    </row>
    <row r="829" spans="1:25" x14ac:dyDescent="0.2">
      <c r="A829" s="60" t="s">
        <v>4178</v>
      </c>
      <c r="B829" t="s">
        <v>4179</v>
      </c>
      <c r="C829" t="s">
        <v>4180</v>
      </c>
      <c r="D829" t="s">
        <v>1375</v>
      </c>
      <c r="F829">
        <v>301476</v>
      </c>
      <c r="J829">
        <v>1</v>
      </c>
      <c r="L829" t="s">
        <v>876</v>
      </c>
      <c r="M829" t="s">
        <v>876</v>
      </c>
      <c r="N829" t="s">
        <v>876</v>
      </c>
      <c r="O829" t="s">
        <v>876</v>
      </c>
      <c r="P829" t="s">
        <v>876</v>
      </c>
    </row>
    <row r="830" spans="1:25" x14ac:dyDescent="0.2">
      <c r="A830" s="60" t="s">
        <v>4181</v>
      </c>
      <c r="B830" t="s">
        <v>4182</v>
      </c>
      <c r="C830" t="s">
        <v>4183</v>
      </c>
      <c r="D830" t="s">
        <v>2152</v>
      </c>
      <c r="F830">
        <v>301477</v>
      </c>
      <c r="J830">
        <v>1</v>
      </c>
      <c r="L830" t="s">
        <v>4184</v>
      </c>
      <c r="M830" t="s">
        <v>4185</v>
      </c>
      <c r="N830" t="s">
        <v>876</v>
      </c>
      <c r="O830" t="s">
        <v>678</v>
      </c>
      <c r="P830" t="s">
        <v>1643</v>
      </c>
      <c r="Q830">
        <v>1</v>
      </c>
      <c r="S830">
        <v>1</v>
      </c>
      <c r="T830">
        <v>10000</v>
      </c>
      <c r="U830">
        <v>10000</v>
      </c>
      <c r="V830">
        <v>10000</v>
      </c>
      <c r="W830">
        <v>10000</v>
      </c>
      <c r="X830">
        <v>0.21874991279804246</v>
      </c>
      <c r="Y830">
        <v>0.23749936103046504</v>
      </c>
    </row>
    <row r="831" spans="1:25" x14ac:dyDescent="0.2">
      <c r="A831" s="60" t="s">
        <v>4186</v>
      </c>
      <c r="B831" t="s">
        <v>4187</v>
      </c>
      <c r="C831" t="s">
        <v>4188</v>
      </c>
      <c r="D831" t="s">
        <v>4189</v>
      </c>
      <c r="F831">
        <v>301478</v>
      </c>
      <c r="J831">
        <v>1</v>
      </c>
      <c r="L831" t="s">
        <v>876</v>
      </c>
      <c r="M831" t="s">
        <v>876</v>
      </c>
      <c r="N831" t="s">
        <v>876</v>
      </c>
      <c r="O831" t="s">
        <v>876</v>
      </c>
      <c r="P831" t="s">
        <v>876</v>
      </c>
    </row>
    <row r="832" spans="1:25" x14ac:dyDescent="0.2">
      <c r="A832" s="60" t="s">
        <v>4190</v>
      </c>
      <c r="B832" t="s">
        <v>4191</v>
      </c>
      <c r="C832" t="s">
        <v>4192</v>
      </c>
      <c r="D832" t="s">
        <v>1375</v>
      </c>
      <c r="F832">
        <v>301479</v>
      </c>
      <c r="J832">
        <v>1</v>
      </c>
      <c r="L832" t="s">
        <v>876</v>
      </c>
      <c r="M832" t="s">
        <v>876</v>
      </c>
      <c r="N832" t="s">
        <v>876</v>
      </c>
      <c r="O832" t="s">
        <v>876</v>
      </c>
      <c r="P832" t="s">
        <v>876</v>
      </c>
    </row>
    <row r="833" spans="1:25" x14ac:dyDescent="0.2">
      <c r="A833" s="60" t="s">
        <v>4193</v>
      </c>
      <c r="B833" t="s">
        <v>4194</v>
      </c>
      <c r="C833" t="s">
        <v>4195</v>
      </c>
      <c r="D833" t="s">
        <v>1375</v>
      </c>
      <c r="F833">
        <v>301480</v>
      </c>
      <c r="J833">
        <v>1</v>
      </c>
      <c r="L833" t="s">
        <v>876</v>
      </c>
      <c r="M833" t="s">
        <v>876</v>
      </c>
      <c r="N833" t="s">
        <v>876</v>
      </c>
      <c r="O833" t="s">
        <v>876</v>
      </c>
      <c r="P833" t="s">
        <v>876</v>
      </c>
    </row>
    <row r="834" spans="1:25" x14ac:dyDescent="0.2">
      <c r="A834" s="60" t="s">
        <v>4196</v>
      </c>
      <c r="B834" t="s">
        <v>4197</v>
      </c>
      <c r="C834" t="s">
        <v>4198</v>
      </c>
      <c r="D834" t="s">
        <v>1388</v>
      </c>
      <c r="F834">
        <v>301481</v>
      </c>
      <c r="J834">
        <v>1</v>
      </c>
      <c r="L834" t="s">
        <v>4199</v>
      </c>
      <c r="M834" t="s">
        <v>996</v>
      </c>
      <c r="N834" t="s">
        <v>876</v>
      </c>
      <c r="O834" t="s">
        <v>1032</v>
      </c>
      <c r="P834" t="s">
        <v>1033</v>
      </c>
      <c r="T834">
        <v>10000</v>
      </c>
      <c r="U834">
        <v>60.932429140000004</v>
      </c>
      <c r="V834">
        <v>10000</v>
      </c>
      <c r="W834">
        <v>88.115451769724956</v>
      </c>
      <c r="X834">
        <v>0.10759426215518025</v>
      </c>
      <c r="Y834">
        <v>0.15030855183573905</v>
      </c>
    </row>
    <row r="835" spans="1:25" x14ac:dyDescent="0.2">
      <c r="A835" s="60" t="s">
        <v>4200</v>
      </c>
      <c r="B835" t="s">
        <v>4201</v>
      </c>
      <c r="C835" t="s">
        <v>4202</v>
      </c>
      <c r="D835" t="s">
        <v>4203</v>
      </c>
      <c r="F835">
        <v>301482</v>
      </c>
      <c r="J835">
        <v>1</v>
      </c>
      <c r="L835" t="s">
        <v>876</v>
      </c>
      <c r="M835" t="s">
        <v>876</v>
      </c>
      <c r="N835" t="s">
        <v>876</v>
      </c>
      <c r="O835" t="s">
        <v>876</v>
      </c>
      <c r="P835" t="s">
        <v>876</v>
      </c>
    </row>
    <row r="836" spans="1:25" x14ac:dyDescent="0.2">
      <c r="A836" s="60" t="s">
        <v>4204</v>
      </c>
      <c r="B836" t="s">
        <v>4205</v>
      </c>
      <c r="C836" t="s">
        <v>4206</v>
      </c>
      <c r="D836" t="s">
        <v>1514</v>
      </c>
      <c r="F836">
        <v>301483</v>
      </c>
      <c r="J836">
        <v>1</v>
      </c>
      <c r="L836" t="s">
        <v>876</v>
      </c>
      <c r="M836" t="s">
        <v>876</v>
      </c>
      <c r="N836" t="s">
        <v>876</v>
      </c>
      <c r="O836" t="s">
        <v>876</v>
      </c>
      <c r="P836" t="s">
        <v>876</v>
      </c>
    </row>
    <row r="837" spans="1:25" x14ac:dyDescent="0.2">
      <c r="A837" s="60" t="s">
        <v>4207</v>
      </c>
      <c r="B837" t="s">
        <v>4208</v>
      </c>
      <c r="C837" t="s">
        <v>4209</v>
      </c>
      <c r="D837" t="s">
        <v>4112</v>
      </c>
      <c r="F837">
        <v>301484</v>
      </c>
      <c r="J837">
        <v>1</v>
      </c>
      <c r="L837" t="s">
        <v>876</v>
      </c>
      <c r="M837" t="s">
        <v>876</v>
      </c>
      <c r="N837" t="s">
        <v>876</v>
      </c>
      <c r="O837" t="s">
        <v>876</v>
      </c>
      <c r="P837" t="s">
        <v>876</v>
      </c>
    </row>
    <row r="838" spans="1:25" x14ac:dyDescent="0.2">
      <c r="A838" s="60" t="s">
        <v>4210</v>
      </c>
      <c r="B838" t="s">
        <v>4211</v>
      </c>
      <c r="C838" t="s">
        <v>4212</v>
      </c>
      <c r="D838" t="s">
        <v>2962</v>
      </c>
      <c r="F838">
        <v>301485</v>
      </c>
      <c r="J838">
        <v>1</v>
      </c>
      <c r="L838" t="s">
        <v>876</v>
      </c>
      <c r="M838" t="s">
        <v>876</v>
      </c>
      <c r="N838" t="s">
        <v>876</v>
      </c>
      <c r="O838" t="s">
        <v>876</v>
      </c>
      <c r="P838" t="s">
        <v>876</v>
      </c>
    </row>
    <row r="839" spans="1:25" x14ac:dyDescent="0.2">
      <c r="A839" s="60" t="s">
        <v>4213</v>
      </c>
      <c r="B839" t="s">
        <v>4214</v>
      </c>
      <c r="C839" t="s">
        <v>4215</v>
      </c>
      <c r="D839" t="s">
        <v>1375</v>
      </c>
      <c r="F839">
        <v>301486</v>
      </c>
      <c r="J839">
        <v>1</v>
      </c>
      <c r="L839" t="s">
        <v>876</v>
      </c>
      <c r="M839" t="s">
        <v>876</v>
      </c>
      <c r="N839" t="s">
        <v>876</v>
      </c>
      <c r="O839" t="s">
        <v>876</v>
      </c>
      <c r="P839" t="s">
        <v>876</v>
      </c>
    </row>
    <row r="840" spans="1:25" x14ac:dyDescent="0.2">
      <c r="A840" s="60" t="s">
        <v>4216</v>
      </c>
      <c r="B840" t="s">
        <v>4217</v>
      </c>
      <c r="C840" t="s">
        <v>4218</v>
      </c>
      <c r="D840" t="s">
        <v>1297</v>
      </c>
      <c r="F840">
        <v>301487</v>
      </c>
      <c r="J840">
        <v>1</v>
      </c>
      <c r="L840" t="s">
        <v>4219</v>
      </c>
      <c r="M840" t="s">
        <v>4220</v>
      </c>
      <c r="N840" t="s">
        <v>876</v>
      </c>
      <c r="O840" t="s">
        <v>1032</v>
      </c>
      <c r="P840" t="s">
        <v>1033</v>
      </c>
      <c r="T840" t="s">
        <v>0</v>
      </c>
      <c r="U840">
        <v>0.798475198</v>
      </c>
      <c r="V840" t="s">
        <v>0</v>
      </c>
      <c r="W840">
        <v>83.963668066903665</v>
      </c>
      <c r="X840">
        <v>0.10423144897394335</v>
      </c>
      <c r="Y840">
        <v>0.47533979873326626</v>
      </c>
    </row>
    <row r="841" spans="1:25" x14ac:dyDescent="0.2">
      <c r="A841" s="60" t="s">
        <v>4221</v>
      </c>
      <c r="B841" t="s">
        <v>4222</v>
      </c>
      <c r="C841" t="s">
        <v>4223</v>
      </c>
      <c r="D841" t="s">
        <v>4112</v>
      </c>
      <c r="F841">
        <v>301488</v>
      </c>
      <c r="J841">
        <v>1</v>
      </c>
      <c r="L841" t="s">
        <v>876</v>
      </c>
      <c r="M841" t="s">
        <v>876</v>
      </c>
      <c r="N841" t="s">
        <v>876</v>
      </c>
      <c r="O841" t="s">
        <v>876</v>
      </c>
      <c r="P841" t="s">
        <v>876</v>
      </c>
    </row>
    <row r="842" spans="1:25" x14ac:dyDescent="0.2">
      <c r="A842" s="60" t="s">
        <v>4224</v>
      </c>
      <c r="B842" t="s">
        <v>4225</v>
      </c>
      <c r="C842" t="s">
        <v>4226</v>
      </c>
      <c r="D842" t="s">
        <v>4203</v>
      </c>
      <c r="F842">
        <v>301489</v>
      </c>
      <c r="J842">
        <v>1</v>
      </c>
      <c r="L842" t="s">
        <v>876</v>
      </c>
      <c r="M842" t="s">
        <v>876</v>
      </c>
      <c r="N842" t="s">
        <v>876</v>
      </c>
      <c r="O842" t="s">
        <v>876</v>
      </c>
      <c r="P842" t="s">
        <v>876</v>
      </c>
    </row>
    <row r="843" spans="1:25" x14ac:dyDescent="0.2">
      <c r="A843" s="60" t="s">
        <v>4227</v>
      </c>
      <c r="B843" t="s">
        <v>4228</v>
      </c>
      <c r="C843" t="s">
        <v>4229</v>
      </c>
      <c r="D843" t="s">
        <v>4112</v>
      </c>
      <c r="F843">
        <v>301490</v>
      </c>
      <c r="J843">
        <v>1</v>
      </c>
      <c r="L843" t="s">
        <v>876</v>
      </c>
      <c r="M843" t="s">
        <v>876</v>
      </c>
      <c r="N843" t="s">
        <v>876</v>
      </c>
      <c r="O843" t="s">
        <v>876</v>
      </c>
      <c r="P843" t="s">
        <v>876</v>
      </c>
    </row>
    <row r="844" spans="1:25" x14ac:dyDescent="0.2">
      <c r="A844" s="60" t="s">
        <v>4230</v>
      </c>
      <c r="B844" t="s">
        <v>4231</v>
      </c>
      <c r="C844" t="s">
        <v>4232</v>
      </c>
      <c r="D844" t="s">
        <v>1517</v>
      </c>
      <c r="F844">
        <v>301491</v>
      </c>
      <c r="J844">
        <v>1</v>
      </c>
      <c r="L844" t="s">
        <v>876</v>
      </c>
      <c r="M844" t="s">
        <v>876</v>
      </c>
      <c r="N844" t="s">
        <v>876</v>
      </c>
      <c r="O844" t="s">
        <v>876</v>
      </c>
      <c r="P844" t="s">
        <v>876</v>
      </c>
    </row>
    <row r="845" spans="1:25" x14ac:dyDescent="0.2">
      <c r="A845" s="60" t="s">
        <v>4233</v>
      </c>
      <c r="B845" t="s">
        <v>4234</v>
      </c>
      <c r="C845" t="s">
        <v>4235</v>
      </c>
      <c r="D845" t="s">
        <v>866</v>
      </c>
      <c r="F845">
        <v>301492</v>
      </c>
      <c r="J845">
        <v>1</v>
      </c>
      <c r="L845" t="s">
        <v>876</v>
      </c>
      <c r="M845" t="s">
        <v>876</v>
      </c>
      <c r="N845" t="s">
        <v>876</v>
      </c>
      <c r="O845" t="s">
        <v>876</v>
      </c>
      <c r="P845" t="s">
        <v>876</v>
      </c>
    </row>
    <row r="846" spans="1:25" x14ac:dyDescent="0.2">
      <c r="A846" s="60" t="s">
        <v>4236</v>
      </c>
      <c r="B846" t="s">
        <v>4237</v>
      </c>
      <c r="C846" t="s">
        <v>4238</v>
      </c>
      <c r="D846" t="s">
        <v>1365</v>
      </c>
      <c r="F846">
        <v>301493</v>
      </c>
      <c r="J846">
        <v>1</v>
      </c>
      <c r="L846" t="s">
        <v>4239</v>
      </c>
      <c r="M846" t="s">
        <v>4240</v>
      </c>
      <c r="N846" t="s">
        <v>876</v>
      </c>
      <c r="O846" t="s">
        <v>667</v>
      </c>
      <c r="P846" t="s">
        <v>1438</v>
      </c>
      <c r="Q846">
        <v>1</v>
      </c>
      <c r="S846">
        <v>1</v>
      </c>
      <c r="T846">
        <v>1.5867928019999999</v>
      </c>
      <c r="U846" t="s">
        <v>0</v>
      </c>
      <c r="V846">
        <v>10000</v>
      </c>
      <c r="W846" t="s">
        <v>0</v>
      </c>
      <c r="X846">
        <v>0.12513810129882882</v>
      </c>
      <c r="Y846">
        <v>0.18405731762060595</v>
      </c>
    </row>
    <row r="847" spans="1:25" x14ac:dyDescent="0.2">
      <c r="A847" s="60" t="s">
        <v>4241</v>
      </c>
      <c r="B847" t="s">
        <v>4242</v>
      </c>
      <c r="C847" t="s">
        <v>4243</v>
      </c>
      <c r="D847" t="s">
        <v>1297</v>
      </c>
      <c r="F847">
        <v>301494</v>
      </c>
      <c r="J847">
        <v>1</v>
      </c>
      <c r="L847" t="s">
        <v>4244</v>
      </c>
      <c r="M847" t="s">
        <v>4245</v>
      </c>
      <c r="N847" t="s">
        <v>876</v>
      </c>
      <c r="O847" t="s">
        <v>1032</v>
      </c>
      <c r="P847" t="s">
        <v>1033</v>
      </c>
      <c r="T847">
        <v>70.500188800000004</v>
      </c>
      <c r="U847">
        <v>10000</v>
      </c>
      <c r="V847">
        <v>77.779229677609479</v>
      </c>
      <c r="W847">
        <v>10000</v>
      </c>
      <c r="X847">
        <v>0.18172110951723036</v>
      </c>
      <c r="Y847">
        <v>0.19791666048302883</v>
      </c>
    </row>
    <row r="848" spans="1:25" x14ac:dyDescent="0.2">
      <c r="A848" s="60" t="s">
        <v>4246</v>
      </c>
      <c r="B848" t="s">
        <v>4247</v>
      </c>
      <c r="C848" t="s">
        <v>4248</v>
      </c>
      <c r="D848" t="s">
        <v>1517</v>
      </c>
      <c r="F848">
        <v>301495</v>
      </c>
      <c r="J848">
        <v>1</v>
      </c>
      <c r="L848" t="s">
        <v>876</v>
      </c>
      <c r="M848" t="s">
        <v>876</v>
      </c>
      <c r="N848" t="s">
        <v>876</v>
      </c>
      <c r="O848" t="s">
        <v>876</v>
      </c>
      <c r="P848" t="s">
        <v>876</v>
      </c>
    </row>
    <row r="849" spans="1:25" x14ac:dyDescent="0.2">
      <c r="A849" s="60" t="s">
        <v>4249</v>
      </c>
      <c r="B849" t="s">
        <v>4250</v>
      </c>
      <c r="C849" t="s">
        <v>4251</v>
      </c>
      <c r="D849" t="s">
        <v>4112</v>
      </c>
      <c r="F849">
        <v>301496</v>
      </c>
      <c r="J849">
        <v>1</v>
      </c>
      <c r="L849" t="s">
        <v>876</v>
      </c>
      <c r="M849" t="s">
        <v>876</v>
      </c>
      <c r="N849" t="s">
        <v>876</v>
      </c>
      <c r="O849" t="s">
        <v>876</v>
      </c>
      <c r="P849" t="s">
        <v>876</v>
      </c>
    </row>
    <row r="850" spans="1:25" x14ac:dyDescent="0.2">
      <c r="A850" s="60" t="s">
        <v>4252</v>
      </c>
      <c r="B850" t="s">
        <v>4253</v>
      </c>
      <c r="C850" t="s">
        <v>4254</v>
      </c>
      <c r="D850" t="s">
        <v>1318</v>
      </c>
      <c r="F850">
        <v>301497</v>
      </c>
      <c r="J850">
        <v>1</v>
      </c>
      <c r="L850" t="s">
        <v>4255</v>
      </c>
      <c r="M850" t="s">
        <v>4256</v>
      </c>
      <c r="N850" t="s">
        <v>876</v>
      </c>
      <c r="O850" t="s">
        <v>1032</v>
      </c>
      <c r="P850" t="s">
        <v>1033</v>
      </c>
      <c r="T850">
        <v>10000</v>
      </c>
      <c r="U850">
        <v>10000</v>
      </c>
      <c r="V850">
        <v>10000</v>
      </c>
      <c r="W850">
        <v>10000</v>
      </c>
      <c r="X850">
        <v>5.2083335244759589E-2</v>
      </c>
      <c r="Y850">
        <v>8.6150087615638832E-2</v>
      </c>
    </row>
    <row r="851" spans="1:25" x14ac:dyDescent="0.2">
      <c r="A851" s="60" t="s">
        <v>4257</v>
      </c>
      <c r="B851" t="s">
        <v>4258</v>
      </c>
      <c r="C851" t="s">
        <v>4259</v>
      </c>
      <c r="D851" t="s">
        <v>782</v>
      </c>
      <c r="F851">
        <v>301498</v>
      </c>
      <c r="J851">
        <v>1</v>
      </c>
      <c r="L851" t="s">
        <v>876</v>
      </c>
      <c r="M851" t="s">
        <v>876</v>
      </c>
      <c r="N851" t="s">
        <v>876</v>
      </c>
      <c r="O851" t="s">
        <v>876</v>
      </c>
      <c r="P851" t="s">
        <v>876</v>
      </c>
    </row>
    <row r="852" spans="1:25" x14ac:dyDescent="0.2">
      <c r="A852" s="60" t="s">
        <v>4260</v>
      </c>
      <c r="B852" t="s">
        <v>4261</v>
      </c>
      <c r="C852" t="s">
        <v>4262</v>
      </c>
      <c r="D852" t="s">
        <v>2962</v>
      </c>
      <c r="F852">
        <v>301499</v>
      </c>
      <c r="J852">
        <v>1</v>
      </c>
      <c r="L852" t="s">
        <v>876</v>
      </c>
      <c r="M852" t="s">
        <v>876</v>
      </c>
      <c r="N852" t="s">
        <v>876</v>
      </c>
      <c r="O852" t="s">
        <v>876</v>
      </c>
      <c r="P852" t="s">
        <v>876</v>
      </c>
    </row>
    <row r="853" spans="1:25" x14ac:dyDescent="0.2">
      <c r="A853" s="60" t="s">
        <v>4263</v>
      </c>
      <c r="B853" t="s">
        <v>4264</v>
      </c>
      <c r="C853" t="s">
        <v>4265</v>
      </c>
      <c r="D853" t="s">
        <v>866</v>
      </c>
      <c r="F853">
        <v>301500</v>
      </c>
      <c r="J853">
        <v>1</v>
      </c>
      <c r="L853" t="s">
        <v>876</v>
      </c>
      <c r="M853" t="s">
        <v>876</v>
      </c>
      <c r="N853" t="s">
        <v>876</v>
      </c>
      <c r="O853" t="s">
        <v>876</v>
      </c>
      <c r="P853" t="s">
        <v>876</v>
      </c>
    </row>
    <row r="854" spans="1:25" x14ac:dyDescent="0.2">
      <c r="A854" s="60" t="s">
        <v>4266</v>
      </c>
      <c r="B854" t="s">
        <v>4267</v>
      </c>
      <c r="C854" t="s">
        <v>4268</v>
      </c>
      <c r="D854" t="s">
        <v>1365</v>
      </c>
      <c r="F854">
        <v>301501</v>
      </c>
      <c r="J854">
        <v>1</v>
      </c>
      <c r="L854" t="s">
        <v>4269</v>
      </c>
      <c r="M854" t="s">
        <v>4270</v>
      </c>
      <c r="N854" t="s">
        <v>876</v>
      </c>
      <c r="O854" t="s">
        <v>1032</v>
      </c>
      <c r="P854" t="s">
        <v>1033</v>
      </c>
      <c r="T854">
        <v>10000</v>
      </c>
      <c r="U854">
        <v>10000</v>
      </c>
      <c r="V854">
        <v>10000</v>
      </c>
      <c r="W854">
        <v>10000</v>
      </c>
      <c r="X854">
        <v>7.8124994175700527E-2</v>
      </c>
      <c r="Y854">
        <v>8.8541664818211574E-2</v>
      </c>
    </row>
    <row r="855" spans="1:25" x14ac:dyDescent="0.2">
      <c r="A855" s="60" t="s">
        <v>4271</v>
      </c>
      <c r="B855" t="s">
        <v>4272</v>
      </c>
      <c r="C855" t="s">
        <v>4273</v>
      </c>
      <c r="D855" t="s">
        <v>1394</v>
      </c>
      <c r="F855">
        <v>301502</v>
      </c>
      <c r="J855">
        <v>1</v>
      </c>
      <c r="K855">
        <v>1</v>
      </c>
      <c r="L855" t="s">
        <v>4274</v>
      </c>
      <c r="M855" t="s">
        <v>4275</v>
      </c>
      <c r="N855" t="s">
        <v>876</v>
      </c>
      <c r="O855" t="s">
        <v>1032</v>
      </c>
      <c r="P855" t="s">
        <v>1033</v>
      </c>
      <c r="T855">
        <v>10.189472390000001</v>
      </c>
      <c r="U855">
        <v>6.1671780739999997</v>
      </c>
      <c r="V855">
        <v>10000</v>
      </c>
      <c r="W855">
        <v>177.60421839716241</v>
      </c>
      <c r="X855">
        <v>0.23571355879257244</v>
      </c>
      <c r="Y855">
        <v>0.42109616757383855</v>
      </c>
    </row>
    <row r="856" spans="1:25" x14ac:dyDescent="0.2">
      <c r="A856" s="60" t="s">
        <v>4276</v>
      </c>
      <c r="B856" t="s">
        <v>4277</v>
      </c>
      <c r="C856" t="s">
        <v>4278</v>
      </c>
      <c r="D856" t="s">
        <v>1318</v>
      </c>
      <c r="F856">
        <v>301503</v>
      </c>
      <c r="J856">
        <v>1</v>
      </c>
      <c r="L856" t="s">
        <v>4279</v>
      </c>
      <c r="M856" t="s">
        <v>3205</v>
      </c>
      <c r="N856" t="s">
        <v>876</v>
      </c>
      <c r="O856" t="s">
        <v>1032</v>
      </c>
      <c r="P856" t="s">
        <v>1033</v>
      </c>
      <c r="T856">
        <v>10000</v>
      </c>
      <c r="U856">
        <v>15.04041297</v>
      </c>
      <c r="V856">
        <v>10000</v>
      </c>
      <c r="W856">
        <v>10000</v>
      </c>
      <c r="X856">
        <v>7.8033415657256341E-2</v>
      </c>
      <c r="Y856">
        <v>0.12878179646653465</v>
      </c>
    </row>
    <row r="857" spans="1:25" x14ac:dyDescent="0.2">
      <c r="A857" s="60" t="s">
        <v>4280</v>
      </c>
      <c r="B857" t="s">
        <v>4281</v>
      </c>
      <c r="C857" t="s">
        <v>4282</v>
      </c>
      <c r="D857" t="s">
        <v>4112</v>
      </c>
      <c r="F857">
        <v>301504</v>
      </c>
      <c r="J857">
        <v>1</v>
      </c>
      <c r="L857" t="s">
        <v>876</v>
      </c>
      <c r="M857" t="s">
        <v>876</v>
      </c>
      <c r="N857" t="s">
        <v>876</v>
      </c>
      <c r="O857" t="s">
        <v>876</v>
      </c>
      <c r="P857" t="s">
        <v>876</v>
      </c>
    </row>
    <row r="858" spans="1:25" x14ac:dyDescent="0.2">
      <c r="A858" s="60" t="s">
        <v>4283</v>
      </c>
      <c r="B858" t="s">
        <v>4284</v>
      </c>
      <c r="C858" t="s">
        <v>4285</v>
      </c>
      <c r="D858" t="s">
        <v>4112</v>
      </c>
      <c r="F858">
        <v>301505</v>
      </c>
      <c r="J858">
        <v>1</v>
      </c>
      <c r="K858">
        <v>1</v>
      </c>
      <c r="L858" t="s">
        <v>876</v>
      </c>
      <c r="M858" t="s">
        <v>876</v>
      </c>
      <c r="N858" t="s">
        <v>876</v>
      </c>
      <c r="O858" t="s">
        <v>876</v>
      </c>
      <c r="P858" t="s">
        <v>876</v>
      </c>
    </row>
    <row r="859" spans="1:25" x14ac:dyDescent="0.2">
      <c r="A859" s="60" t="s">
        <v>4286</v>
      </c>
      <c r="B859" t="s">
        <v>4287</v>
      </c>
      <c r="C859" t="s">
        <v>4288</v>
      </c>
      <c r="D859" t="s">
        <v>1375</v>
      </c>
      <c r="F859">
        <v>301506</v>
      </c>
      <c r="J859">
        <v>1</v>
      </c>
      <c r="L859" t="s">
        <v>876</v>
      </c>
      <c r="M859" t="s">
        <v>876</v>
      </c>
      <c r="N859" t="s">
        <v>876</v>
      </c>
      <c r="O859" t="s">
        <v>876</v>
      </c>
      <c r="P859" t="s">
        <v>876</v>
      </c>
    </row>
    <row r="860" spans="1:25" x14ac:dyDescent="0.2">
      <c r="A860" s="60" t="s">
        <v>4289</v>
      </c>
      <c r="B860" t="s">
        <v>4290</v>
      </c>
      <c r="C860" t="s">
        <v>4291</v>
      </c>
      <c r="D860" t="s">
        <v>1375</v>
      </c>
      <c r="F860">
        <v>301507</v>
      </c>
      <c r="J860">
        <v>1</v>
      </c>
      <c r="L860" t="s">
        <v>876</v>
      </c>
      <c r="M860" t="s">
        <v>876</v>
      </c>
      <c r="N860" t="s">
        <v>876</v>
      </c>
      <c r="O860" t="s">
        <v>876</v>
      </c>
      <c r="P860" t="s">
        <v>876</v>
      </c>
    </row>
    <row r="861" spans="1:25" x14ac:dyDescent="0.2">
      <c r="A861" s="60" t="s">
        <v>4292</v>
      </c>
      <c r="B861" t="s">
        <v>4293</v>
      </c>
      <c r="C861" t="s">
        <v>4294</v>
      </c>
      <c r="D861" t="s">
        <v>1514</v>
      </c>
      <c r="F861">
        <v>301508</v>
      </c>
      <c r="J861">
        <v>1</v>
      </c>
      <c r="L861" t="s">
        <v>876</v>
      </c>
      <c r="M861" t="s">
        <v>876</v>
      </c>
      <c r="N861" t="s">
        <v>876</v>
      </c>
      <c r="O861" t="s">
        <v>876</v>
      </c>
      <c r="P861" t="s">
        <v>876</v>
      </c>
    </row>
    <row r="862" spans="1:25" x14ac:dyDescent="0.2">
      <c r="A862" s="60" t="s">
        <v>4295</v>
      </c>
      <c r="B862" t="s">
        <v>4296</v>
      </c>
      <c r="C862" t="s">
        <v>4297</v>
      </c>
      <c r="D862" t="s">
        <v>1307</v>
      </c>
      <c r="F862">
        <v>301509</v>
      </c>
      <c r="J862">
        <v>1</v>
      </c>
      <c r="L862" t="s">
        <v>4298</v>
      </c>
      <c r="M862" t="s">
        <v>4299</v>
      </c>
      <c r="N862" t="s">
        <v>876</v>
      </c>
      <c r="O862" t="s">
        <v>1032</v>
      </c>
      <c r="P862" t="s">
        <v>1033</v>
      </c>
      <c r="T862">
        <v>50.50041306</v>
      </c>
      <c r="U862">
        <v>7.2844313359999999</v>
      </c>
      <c r="V862">
        <v>57.26026951482865</v>
      </c>
      <c r="W862">
        <v>17.969884171339693</v>
      </c>
      <c r="X862">
        <v>0.17387624118671485</v>
      </c>
      <c r="Y862">
        <v>0.69346770999860163</v>
      </c>
    </row>
    <row r="863" spans="1:25" x14ac:dyDescent="0.2">
      <c r="A863" s="60" t="s">
        <v>4300</v>
      </c>
      <c r="B863" t="s">
        <v>4301</v>
      </c>
      <c r="C863" t="s">
        <v>4302</v>
      </c>
      <c r="D863" t="s">
        <v>1514</v>
      </c>
      <c r="F863">
        <v>301510</v>
      </c>
      <c r="J863">
        <v>1</v>
      </c>
      <c r="L863" t="s">
        <v>876</v>
      </c>
      <c r="M863" t="s">
        <v>876</v>
      </c>
      <c r="N863" t="s">
        <v>876</v>
      </c>
      <c r="O863" t="s">
        <v>876</v>
      </c>
      <c r="P863" t="s">
        <v>876</v>
      </c>
    </row>
    <row r="864" spans="1:25" x14ac:dyDescent="0.2">
      <c r="A864" s="60" t="s">
        <v>4303</v>
      </c>
      <c r="B864" t="s">
        <v>4304</v>
      </c>
      <c r="C864" t="s">
        <v>4305</v>
      </c>
      <c r="D864" t="s">
        <v>1318</v>
      </c>
      <c r="F864">
        <v>301511</v>
      </c>
      <c r="J864">
        <v>1</v>
      </c>
      <c r="L864" t="s">
        <v>4306</v>
      </c>
      <c r="M864" t="s">
        <v>4307</v>
      </c>
      <c r="N864" t="s">
        <v>876</v>
      </c>
      <c r="O864" t="s">
        <v>1032</v>
      </c>
      <c r="P864" t="s">
        <v>1033</v>
      </c>
      <c r="T864">
        <v>29.972354880000001</v>
      </c>
      <c r="U864">
        <v>20.45166064</v>
      </c>
      <c r="V864">
        <v>10000</v>
      </c>
      <c r="W864">
        <v>10000</v>
      </c>
      <c r="X864">
        <v>0.15415869047237929</v>
      </c>
      <c r="Y864">
        <v>0.17997616756360704</v>
      </c>
    </row>
    <row r="865" spans="1:25" x14ac:dyDescent="0.2">
      <c r="A865" s="60" t="s">
        <v>4308</v>
      </c>
      <c r="B865" t="s">
        <v>4309</v>
      </c>
      <c r="C865" t="s">
        <v>4310</v>
      </c>
      <c r="D865" t="s">
        <v>4112</v>
      </c>
      <c r="F865">
        <v>301512</v>
      </c>
      <c r="J865">
        <v>1</v>
      </c>
      <c r="L865" t="s">
        <v>876</v>
      </c>
      <c r="M865" t="s">
        <v>876</v>
      </c>
      <c r="N865" t="s">
        <v>876</v>
      </c>
      <c r="O865" t="s">
        <v>876</v>
      </c>
      <c r="P865" t="s">
        <v>876</v>
      </c>
    </row>
    <row r="866" spans="1:25" x14ac:dyDescent="0.2">
      <c r="A866" s="60" t="s">
        <v>4311</v>
      </c>
      <c r="B866" t="s">
        <v>4312</v>
      </c>
      <c r="C866" t="s">
        <v>4313</v>
      </c>
      <c r="D866" t="s">
        <v>1297</v>
      </c>
      <c r="F866">
        <v>301513</v>
      </c>
      <c r="J866">
        <v>1</v>
      </c>
      <c r="L866" t="s">
        <v>4314</v>
      </c>
      <c r="M866" t="s">
        <v>4315</v>
      </c>
      <c r="N866" t="s">
        <v>876</v>
      </c>
      <c r="O866" t="s">
        <v>1032</v>
      </c>
      <c r="P866" t="s">
        <v>1033</v>
      </c>
      <c r="T866">
        <v>1.344837252</v>
      </c>
      <c r="U866">
        <v>1.9463241090000001</v>
      </c>
      <c r="V866">
        <v>9.2920848904493099</v>
      </c>
      <c r="W866">
        <v>4.8363978976983111</v>
      </c>
      <c r="X866">
        <v>0.80918187803919739</v>
      </c>
      <c r="Y866">
        <v>0.93409655784395595</v>
      </c>
    </row>
    <row r="867" spans="1:25" x14ac:dyDescent="0.2">
      <c r="A867" s="60" t="s">
        <v>4316</v>
      </c>
      <c r="B867" t="s">
        <v>4317</v>
      </c>
      <c r="C867" t="s">
        <v>4318</v>
      </c>
      <c r="D867" t="s">
        <v>1318</v>
      </c>
      <c r="F867">
        <v>301514</v>
      </c>
      <c r="J867">
        <v>1</v>
      </c>
      <c r="L867" t="s">
        <v>4319</v>
      </c>
      <c r="M867" t="s">
        <v>4320</v>
      </c>
      <c r="N867" t="s">
        <v>876</v>
      </c>
      <c r="O867" t="s">
        <v>1032</v>
      </c>
      <c r="P867" t="s">
        <v>1033</v>
      </c>
      <c r="T867">
        <v>63.020299950000002</v>
      </c>
      <c r="U867">
        <v>4.026004629</v>
      </c>
      <c r="V867">
        <v>70.661817920463079</v>
      </c>
      <c r="W867">
        <v>5.3526194407017487</v>
      </c>
      <c r="X867">
        <v>0.10933826386603962</v>
      </c>
      <c r="Y867">
        <v>0.32349798691142145</v>
      </c>
    </row>
    <row r="868" spans="1:25" x14ac:dyDescent="0.2">
      <c r="A868" s="60" t="s">
        <v>4321</v>
      </c>
      <c r="B868" t="s">
        <v>4322</v>
      </c>
      <c r="C868" t="s">
        <v>4323</v>
      </c>
      <c r="D868" t="s">
        <v>866</v>
      </c>
      <c r="F868">
        <v>301515</v>
      </c>
      <c r="J868">
        <v>1</v>
      </c>
      <c r="L868" t="s">
        <v>876</v>
      </c>
      <c r="M868" t="s">
        <v>876</v>
      </c>
      <c r="N868" t="s">
        <v>876</v>
      </c>
      <c r="O868" t="s">
        <v>876</v>
      </c>
      <c r="P868" t="s">
        <v>876</v>
      </c>
    </row>
    <row r="869" spans="1:25" x14ac:dyDescent="0.2">
      <c r="A869" s="60" t="s">
        <v>4324</v>
      </c>
      <c r="B869" t="s">
        <v>4325</v>
      </c>
      <c r="C869" t="s">
        <v>4326</v>
      </c>
      <c r="D869" t="s">
        <v>1514</v>
      </c>
      <c r="F869">
        <v>301516</v>
      </c>
      <c r="J869">
        <v>1</v>
      </c>
      <c r="L869" t="s">
        <v>876</v>
      </c>
      <c r="M869" t="s">
        <v>876</v>
      </c>
      <c r="N869" t="s">
        <v>876</v>
      </c>
      <c r="O869" t="s">
        <v>876</v>
      </c>
      <c r="P869" t="s">
        <v>876</v>
      </c>
    </row>
    <row r="870" spans="1:25" x14ac:dyDescent="0.2">
      <c r="A870" s="60" t="s">
        <v>4327</v>
      </c>
      <c r="B870" t="s">
        <v>4328</v>
      </c>
      <c r="C870" t="s">
        <v>4329</v>
      </c>
      <c r="D870" t="s">
        <v>2962</v>
      </c>
      <c r="F870">
        <v>301517</v>
      </c>
      <c r="J870">
        <v>1</v>
      </c>
      <c r="L870" t="s">
        <v>876</v>
      </c>
      <c r="M870" t="s">
        <v>876</v>
      </c>
      <c r="N870" t="s">
        <v>876</v>
      </c>
      <c r="O870" t="s">
        <v>876</v>
      </c>
      <c r="P870" t="s">
        <v>876</v>
      </c>
    </row>
    <row r="871" spans="1:25" x14ac:dyDescent="0.2">
      <c r="A871" s="60" t="s">
        <v>934</v>
      </c>
      <c r="B871" t="s">
        <v>4330</v>
      </c>
      <c r="C871" t="s">
        <v>4331</v>
      </c>
      <c r="D871" t="s">
        <v>1375</v>
      </c>
      <c r="F871">
        <v>301518</v>
      </c>
      <c r="J871">
        <v>1</v>
      </c>
      <c r="L871" t="s">
        <v>876</v>
      </c>
      <c r="M871" t="s">
        <v>876</v>
      </c>
      <c r="N871" t="s">
        <v>876</v>
      </c>
      <c r="O871" t="s">
        <v>876</v>
      </c>
      <c r="P871" t="s">
        <v>876</v>
      </c>
    </row>
    <row r="872" spans="1:25" x14ac:dyDescent="0.2">
      <c r="A872" s="60" t="s">
        <v>677</v>
      </c>
      <c r="B872" t="s">
        <v>4332</v>
      </c>
      <c r="C872" t="s">
        <v>4333</v>
      </c>
      <c r="D872" t="s">
        <v>1517</v>
      </c>
      <c r="F872">
        <v>301519</v>
      </c>
      <c r="J872">
        <v>1</v>
      </c>
      <c r="L872" t="s">
        <v>876</v>
      </c>
      <c r="M872" t="s">
        <v>876</v>
      </c>
      <c r="N872" t="s">
        <v>876</v>
      </c>
      <c r="O872" t="s">
        <v>876</v>
      </c>
      <c r="P872" t="s">
        <v>876</v>
      </c>
    </row>
    <row r="873" spans="1:25" x14ac:dyDescent="0.2">
      <c r="A873" s="60" t="s">
        <v>817</v>
      </c>
      <c r="B873" t="s">
        <v>4334</v>
      </c>
      <c r="C873" t="s">
        <v>4335</v>
      </c>
      <c r="D873" t="s">
        <v>1375</v>
      </c>
      <c r="F873">
        <v>301520</v>
      </c>
      <c r="J873">
        <v>1</v>
      </c>
      <c r="L873" t="s">
        <v>876</v>
      </c>
      <c r="M873" t="s">
        <v>876</v>
      </c>
      <c r="N873" t="s">
        <v>876</v>
      </c>
      <c r="O873" t="s">
        <v>876</v>
      </c>
      <c r="P873" t="s">
        <v>876</v>
      </c>
    </row>
    <row r="874" spans="1:25" x14ac:dyDescent="0.2">
      <c r="A874" s="60" t="s">
        <v>682</v>
      </c>
      <c r="B874" t="s">
        <v>4336</v>
      </c>
      <c r="C874" t="s">
        <v>4337</v>
      </c>
      <c r="D874" t="s">
        <v>1375</v>
      </c>
      <c r="F874">
        <v>301521</v>
      </c>
      <c r="J874">
        <v>1</v>
      </c>
      <c r="L874" t="s">
        <v>876</v>
      </c>
      <c r="M874" t="s">
        <v>876</v>
      </c>
      <c r="N874" t="s">
        <v>876</v>
      </c>
      <c r="O874" t="s">
        <v>876</v>
      </c>
      <c r="P874" t="s">
        <v>876</v>
      </c>
    </row>
    <row r="875" spans="1:25" x14ac:dyDescent="0.2">
      <c r="A875" s="60" t="s">
        <v>2981</v>
      </c>
      <c r="B875" t="s">
        <v>4338</v>
      </c>
      <c r="C875" t="s">
        <v>4339</v>
      </c>
      <c r="D875" t="s">
        <v>1514</v>
      </c>
      <c r="F875">
        <v>301522</v>
      </c>
      <c r="J875">
        <v>1</v>
      </c>
      <c r="L875" t="s">
        <v>876</v>
      </c>
      <c r="M875" t="s">
        <v>876</v>
      </c>
      <c r="N875" t="s">
        <v>876</v>
      </c>
      <c r="O875" t="s">
        <v>876</v>
      </c>
      <c r="P875" t="s">
        <v>876</v>
      </c>
    </row>
    <row r="876" spans="1:25" x14ac:dyDescent="0.2">
      <c r="A876" s="60" t="s">
        <v>4340</v>
      </c>
      <c r="B876" t="s">
        <v>4341</v>
      </c>
      <c r="C876" t="s">
        <v>4342</v>
      </c>
      <c r="D876" t="s">
        <v>1517</v>
      </c>
      <c r="F876">
        <v>301523</v>
      </c>
      <c r="J876">
        <v>1</v>
      </c>
      <c r="L876" t="s">
        <v>876</v>
      </c>
      <c r="M876" t="s">
        <v>876</v>
      </c>
      <c r="N876" t="s">
        <v>876</v>
      </c>
      <c r="O876" t="s">
        <v>876</v>
      </c>
      <c r="P876" t="s">
        <v>876</v>
      </c>
    </row>
    <row r="877" spans="1:25" x14ac:dyDescent="0.2">
      <c r="A877" s="60" t="s">
        <v>4343</v>
      </c>
      <c r="B877" t="s">
        <v>4344</v>
      </c>
      <c r="C877" t="s">
        <v>4345</v>
      </c>
      <c r="D877" t="s">
        <v>1514</v>
      </c>
      <c r="F877">
        <v>301524</v>
      </c>
      <c r="J877">
        <v>1</v>
      </c>
      <c r="L877" t="s">
        <v>876</v>
      </c>
      <c r="M877" t="s">
        <v>876</v>
      </c>
      <c r="N877" t="s">
        <v>876</v>
      </c>
      <c r="O877" t="s">
        <v>876</v>
      </c>
      <c r="P877" t="s">
        <v>876</v>
      </c>
    </row>
    <row r="878" spans="1:25" x14ac:dyDescent="0.2">
      <c r="A878" s="60" t="s">
        <v>4346</v>
      </c>
      <c r="B878" t="s">
        <v>4347</v>
      </c>
      <c r="C878" t="s">
        <v>4348</v>
      </c>
      <c r="D878" t="s">
        <v>866</v>
      </c>
      <c r="F878">
        <v>301525</v>
      </c>
      <c r="J878">
        <v>1</v>
      </c>
      <c r="L878" t="s">
        <v>876</v>
      </c>
      <c r="M878" t="s">
        <v>876</v>
      </c>
      <c r="N878" t="s">
        <v>876</v>
      </c>
      <c r="O878" t="s">
        <v>876</v>
      </c>
      <c r="P878" t="s">
        <v>876</v>
      </c>
    </row>
    <row r="879" spans="1:25" x14ac:dyDescent="0.2">
      <c r="A879" s="60" t="s">
        <v>4349</v>
      </c>
      <c r="B879" t="s">
        <v>4350</v>
      </c>
      <c r="C879" t="s">
        <v>4351</v>
      </c>
      <c r="D879" t="s">
        <v>1517</v>
      </c>
      <c r="F879">
        <v>301526</v>
      </c>
      <c r="J879">
        <v>1</v>
      </c>
      <c r="L879" t="s">
        <v>876</v>
      </c>
      <c r="M879" t="s">
        <v>876</v>
      </c>
      <c r="N879" t="s">
        <v>876</v>
      </c>
      <c r="O879" t="s">
        <v>876</v>
      </c>
      <c r="P879" t="s">
        <v>876</v>
      </c>
    </row>
    <row r="880" spans="1:25" x14ac:dyDescent="0.2">
      <c r="A880" s="60" t="s">
        <v>4352</v>
      </c>
      <c r="B880" t="s">
        <v>4353</v>
      </c>
      <c r="C880" t="s">
        <v>4354</v>
      </c>
      <c r="D880" t="s">
        <v>4112</v>
      </c>
      <c r="F880">
        <v>301527</v>
      </c>
      <c r="J880">
        <v>1</v>
      </c>
      <c r="L880" t="s">
        <v>876</v>
      </c>
      <c r="M880" t="s">
        <v>876</v>
      </c>
      <c r="N880" t="s">
        <v>876</v>
      </c>
      <c r="O880" t="s">
        <v>876</v>
      </c>
      <c r="P880" t="s">
        <v>876</v>
      </c>
    </row>
    <row r="881" spans="1:25" x14ac:dyDescent="0.2">
      <c r="A881" s="60" t="s">
        <v>3304</v>
      </c>
      <c r="B881" t="s">
        <v>4355</v>
      </c>
      <c r="C881" t="s">
        <v>4356</v>
      </c>
      <c r="D881" t="s">
        <v>866</v>
      </c>
      <c r="F881">
        <v>301528</v>
      </c>
      <c r="J881">
        <v>1</v>
      </c>
      <c r="L881" t="s">
        <v>876</v>
      </c>
      <c r="M881" t="s">
        <v>876</v>
      </c>
      <c r="N881" t="s">
        <v>876</v>
      </c>
      <c r="O881" t="s">
        <v>876</v>
      </c>
      <c r="P881" t="s">
        <v>876</v>
      </c>
    </row>
    <row r="882" spans="1:25" x14ac:dyDescent="0.2">
      <c r="A882" s="60" t="s">
        <v>4357</v>
      </c>
      <c r="B882" t="s">
        <v>4358</v>
      </c>
      <c r="C882" t="s">
        <v>4359</v>
      </c>
      <c r="D882" t="s">
        <v>1514</v>
      </c>
      <c r="F882">
        <v>301529</v>
      </c>
      <c r="J882">
        <v>1</v>
      </c>
      <c r="L882" t="s">
        <v>876</v>
      </c>
      <c r="M882" t="s">
        <v>876</v>
      </c>
      <c r="N882" t="s">
        <v>876</v>
      </c>
      <c r="O882" t="s">
        <v>876</v>
      </c>
      <c r="P882" t="s">
        <v>876</v>
      </c>
    </row>
    <row r="883" spans="1:25" x14ac:dyDescent="0.2">
      <c r="A883" s="60" t="s">
        <v>4360</v>
      </c>
      <c r="B883" t="s">
        <v>4361</v>
      </c>
      <c r="C883" t="s">
        <v>4362</v>
      </c>
      <c r="D883" t="s">
        <v>1514</v>
      </c>
      <c r="F883">
        <v>301530</v>
      </c>
      <c r="J883">
        <v>1</v>
      </c>
      <c r="L883" t="s">
        <v>876</v>
      </c>
      <c r="M883" t="s">
        <v>876</v>
      </c>
      <c r="N883" t="s">
        <v>876</v>
      </c>
      <c r="O883" t="s">
        <v>876</v>
      </c>
      <c r="P883" t="s">
        <v>876</v>
      </c>
    </row>
    <row r="884" spans="1:25" x14ac:dyDescent="0.2">
      <c r="A884" s="60" t="s">
        <v>4363</v>
      </c>
      <c r="B884" t="s">
        <v>4364</v>
      </c>
      <c r="C884" t="s">
        <v>4365</v>
      </c>
      <c r="D884" t="s">
        <v>1307</v>
      </c>
      <c r="F884">
        <v>301531</v>
      </c>
      <c r="J884">
        <v>1</v>
      </c>
      <c r="L884" t="s">
        <v>4366</v>
      </c>
      <c r="M884" t="s">
        <v>4367</v>
      </c>
      <c r="N884" t="s">
        <v>876</v>
      </c>
      <c r="O884" t="s">
        <v>1032</v>
      </c>
      <c r="P884" t="s">
        <v>1033</v>
      </c>
      <c r="T884">
        <v>10000</v>
      </c>
      <c r="U884">
        <v>10000</v>
      </c>
      <c r="V884">
        <v>10000</v>
      </c>
      <c r="W884">
        <v>10000</v>
      </c>
      <c r="X884">
        <v>7.2916663869355483E-2</v>
      </c>
      <c r="Y884">
        <v>8.8541659520228702E-2</v>
      </c>
    </row>
    <row r="885" spans="1:25" x14ac:dyDescent="0.2">
      <c r="A885" s="60" t="s">
        <v>4368</v>
      </c>
      <c r="B885" t="s">
        <v>4369</v>
      </c>
      <c r="C885" t="s">
        <v>4370</v>
      </c>
      <c r="D885" t="s">
        <v>1514</v>
      </c>
      <c r="F885">
        <v>301532</v>
      </c>
      <c r="J885">
        <v>1</v>
      </c>
      <c r="L885" t="s">
        <v>876</v>
      </c>
      <c r="M885" t="s">
        <v>876</v>
      </c>
      <c r="N885" t="s">
        <v>876</v>
      </c>
      <c r="O885" t="s">
        <v>876</v>
      </c>
      <c r="P885" t="s">
        <v>876</v>
      </c>
    </row>
    <row r="886" spans="1:25" x14ac:dyDescent="0.2">
      <c r="A886" s="60" t="s">
        <v>4371</v>
      </c>
      <c r="B886" t="s">
        <v>4372</v>
      </c>
      <c r="C886" t="s">
        <v>4373</v>
      </c>
      <c r="D886" t="s">
        <v>1514</v>
      </c>
      <c r="F886">
        <v>301533</v>
      </c>
      <c r="J886">
        <v>1</v>
      </c>
      <c r="L886" t="s">
        <v>876</v>
      </c>
      <c r="M886" t="s">
        <v>876</v>
      </c>
      <c r="N886" t="s">
        <v>876</v>
      </c>
      <c r="O886" t="s">
        <v>876</v>
      </c>
      <c r="P886" t="s">
        <v>876</v>
      </c>
    </row>
    <row r="887" spans="1:25" x14ac:dyDescent="0.2">
      <c r="A887" s="60" t="s">
        <v>4374</v>
      </c>
      <c r="B887" t="s">
        <v>4375</v>
      </c>
      <c r="C887" t="s">
        <v>4376</v>
      </c>
      <c r="D887" t="s">
        <v>1517</v>
      </c>
      <c r="F887">
        <v>301534</v>
      </c>
      <c r="J887">
        <v>1</v>
      </c>
      <c r="L887" t="s">
        <v>876</v>
      </c>
      <c r="M887" t="s">
        <v>876</v>
      </c>
      <c r="N887" t="s">
        <v>876</v>
      </c>
      <c r="O887" t="s">
        <v>876</v>
      </c>
      <c r="P887" t="s">
        <v>876</v>
      </c>
    </row>
    <row r="888" spans="1:25" x14ac:dyDescent="0.2">
      <c r="A888" s="60" t="s">
        <v>4320</v>
      </c>
      <c r="B888" t="s">
        <v>4377</v>
      </c>
      <c r="C888" t="s">
        <v>4378</v>
      </c>
      <c r="D888" t="s">
        <v>1375</v>
      </c>
      <c r="F888">
        <v>301535</v>
      </c>
      <c r="J888">
        <v>1</v>
      </c>
      <c r="L888" t="s">
        <v>876</v>
      </c>
      <c r="M888" t="s">
        <v>876</v>
      </c>
      <c r="N888" t="s">
        <v>876</v>
      </c>
      <c r="O888" t="s">
        <v>876</v>
      </c>
      <c r="P888" t="s">
        <v>876</v>
      </c>
    </row>
    <row r="889" spans="1:25" x14ac:dyDescent="0.2">
      <c r="A889" s="60" t="s">
        <v>4379</v>
      </c>
      <c r="B889" t="s">
        <v>4380</v>
      </c>
      <c r="C889" t="s">
        <v>4381</v>
      </c>
      <c r="D889" t="s">
        <v>2969</v>
      </c>
      <c r="F889">
        <v>301536</v>
      </c>
      <c r="J889">
        <v>1</v>
      </c>
      <c r="L889" t="s">
        <v>876</v>
      </c>
      <c r="M889" t="s">
        <v>876</v>
      </c>
      <c r="N889" t="s">
        <v>876</v>
      </c>
      <c r="O889" t="s">
        <v>876</v>
      </c>
      <c r="P889" t="s">
        <v>876</v>
      </c>
    </row>
    <row r="890" spans="1:25" x14ac:dyDescent="0.2">
      <c r="A890" s="60" t="s">
        <v>937</v>
      </c>
      <c r="B890" t="s">
        <v>4382</v>
      </c>
      <c r="C890" t="s">
        <v>4383</v>
      </c>
      <c r="D890" t="s">
        <v>4112</v>
      </c>
      <c r="F890">
        <v>301537</v>
      </c>
      <c r="J890">
        <v>1</v>
      </c>
      <c r="L890" t="s">
        <v>876</v>
      </c>
      <c r="M890" t="s">
        <v>876</v>
      </c>
      <c r="N890" t="s">
        <v>876</v>
      </c>
      <c r="O890" t="s">
        <v>876</v>
      </c>
      <c r="P890" t="s">
        <v>876</v>
      </c>
    </row>
    <row r="891" spans="1:25" x14ac:dyDescent="0.2">
      <c r="A891" s="60" t="s">
        <v>4384</v>
      </c>
      <c r="B891" t="s">
        <v>4385</v>
      </c>
      <c r="C891" t="s">
        <v>4386</v>
      </c>
      <c r="D891" t="s">
        <v>1307</v>
      </c>
      <c r="F891">
        <v>301538</v>
      </c>
      <c r="J891">
        <v>1</v>
      </c>
      <c r="L891" t="s">
        <v>4387</v>
      </c>
      <c r="M891" t="s">
        <v>4388</v>
      </c>
      <c r="N891" t="s">
        <v>876</v>
      </c>
      <c r="O891" t="s">
        <v>1032</v>
      </c>
      <c r="P891" t="s">
        <v>1033</v>
      </c>
      <c r="T891">
        <v>65.890629540000006</v>
      </c>
      <c r="U891">
        <v>656.71834980000006</v>
      </c>
      <c r="V891">
        <v>73.751892636744927</v>
      </c>
      <c r="W891">
        <v>10000</v>
      </c>
      <c r="X891">
        <v>0.11010782468909711</v>
      </c>
      <c r="Y891">
        <v>0.14978463603015557</v>
      </c>
    </row>
    <row r="892" spans="1:25" x14ac:dyDescent="0.2">
      <c r="A892" s="60" t="s">
        <v>4389</v>
      </c>
      <c r="B892" t="s">
        <v>4390</v>
      </c>
      <c r="C892" t="s">
        <v>4391</v>
      </c>
      <c r="D892" t="s">
        <v>866</v>
      </c>
      <c r="F892">
        <v>301539</v>
      </c>
      <c r="J892">
        <v>1</v>
      </c>
      <c r="L892" t="s">
        <v>876</v>
      </c>
      <c r="M892" t="s">
        <v>876</v>
      </c>
      <c r="N892" t="s">
        <v>876</v>
      </c>
      <c r="O892" t="s">
        <v>876</v>
      </c>
      <c r="P892" t="s">
        <v>876</v>
      </c>
    </row>
    <row r="893" spans="1:25" x14ac:dyDescent="0.2">
      <c r="A893" s="60" t="s">
        <v>4392</v>
      </c>
      <c r="B893" t="s">
        <v>4393</v>
      </c>
      <c r="C893" t="s">
        <v>4394</v>
      </c>
      <c r="D893" t="s">
        <v>1375</v>
      </c>
      <c r="F893">
        <v>301540</v>
      </c>
      <c r="J893">
        <v>1</v>
      </c>
      <c r="L893" t="s">
        <v>876</v>
      </c>
      <c r="M893" t="s">
        <v>876</v>
      </c>
      <c r="N893" t="s">
        <v>876</v>
      </c>
      <c r="O893" t="s">
        <v>876</v>
      </c>
      <c r="P893" t="s">
        <v>876</v>
      </c>
    </row>
    <row r="894" spans="1:25" x14ac:dyDescent="0.2">
      <c r="A894" s="60" t="s">
        <v>4395</v>
      </c>
      <c r="B894" t="s">
        <v>4396</v>
      </c>
      <c r="C894" t="s">
        <v>4397</v>
      </c>
      <c r="D894" t="s">
        <v>1307</v>
      </c>
      <c r="F894">
        <v>301541</v>
      </c>
      <c r="J894">
        <v>1</v>
      </c>
      <c r="L894" t="s">
        <v>4398</v>
      </c>
      <c r="M894" t="s">
        <v>4399</v>
      </c>
      <c r="N894" t="s">
        <v>876</v>
      </c>
      <c r="O894" t="s">
        <v>1032</v>
      </c>
      <c r="P894" t="s">
        <v>1033</v>
      </c>
      <c r="T894">
        <v>10000</v>
      </c>
      <c r="U894">
        <v>7.7916226569999996</v>
      </c>
      <c r="V894">
        <v>10000</v>
      </c>
      <c r="W894">
        <v>10000</v>
      </c>
      <c r="X894">
        <v>0.1428766728072805</v>
      </c>
      <c r="Y894">
        <v>0.25041851587311798</v>
      </c>
    </row>
    <row r="895" spans="1:25" x14ac:dyDescent="0.2">
      <c r="A895" s="60" t="s">
        <v>4400</v>
      </c>
      <c r="B895" t="s">
        <v>4401</v>
      </c>
      <c r="C895" t="s">
        <v>4402</v>
      </c>
      <c r="D895" t="s">
        <v>1514</v>
      </c>
      <c r="F895">
        <v>301542</v>
      </c>
      <c r="J895">
        <v>1</v>
      </c>
      <c r="L895" t="s">
        <v>876</v>
      </c>
      <c r="M895" t="s">
        <v>876</v>
      </c>
      <c r="N895" t="s">
        <v>876</v>
      </c>
      <c r="O895" t="s">
        <v>876</v>
      </c>
      <c r="P895" t="s">
        <v>876</v>
      </c>
    </row>
    <row r="896" spans="1:25" x14ac:dyDescent="0.2">
      <c r="A896" s="60" t="s">
        <v>4403</v>
      </c>
      <c r="B896" t="s">
        <v>4404</v>
      </c>
      <c r="C896" t="s">
        <v>4405</v>
      </c>
      <c r="D896" t="s">
        <v>1307</v>
      </c>
      <c r="F896">
        <v>301543</v>
      </c>
      <c r="J896">
        <v>1</v>
      </c>
      <c r="L896" t="s">
        <v>4406</v>
      </c>
      <c r="M896" t="s">
        <v>4407</v>
      </c>
      <c r="N896" t="s">
        <v>876</v>
      </c>
      <c r="O896" t="s">
        <v>1032</v>
      </c>
      <c r="P896" t="s">
        <v>1033</v>
      </c>
      <c r="T896">
        <v>10000</v>
      </c>
      <c r="U896">
        <v>10000</v>
      </c>
      <c r="V896">
        <v>10000</v>
      </c>
      <c r="W896">
        <v>10000</v>
      </c>
      <c r="X896">
        <v>0.13541665923494123</v>
      </c>
      <c r="Y896">
        <v>0.16666666100000788</v>
      </c>
    </row>
    <row r="897" spans="1:25" x14ac:dyDescent="0.2">
      <c r="A897" s="60" t="s">
        <v>4408</v>
      </c>
      <c r="B897" t="s">
        <v>4409</v>
      </c>
      <c r="C897" t="s">
        <v>4410</v>
      </c>
      <c r="D897" t="s">
        <v>1318</v>
      </c>
      <c r="F897">
        <v>301544</v>
      </c>
      <c r="J897">
        <v>1</v>
      </c>
      <c r="L897" t="s">
        <v>4411</v>
      </c>
      <c r="M897" t="s">
        <v>4412</v>
      </c>
      <c r="N897" t="s">
        <v>876</v>
      </c>
      <c r="O897" t="s">
        <v>1032</v>
      </c>
      <c r="P897" t="s">
        <v>1033</v>
      </c>
      <c r="T897">
        <v>57.745395109999997</v>
      </c>
      <c r="U897">
        <v>10.378090029999999</v>
      </c>
      <c r="V897">
        <v>64.933222487309351</v>
      </c>
      <c r="W897">
        <v>11.583737968189507</v>
      </c>
      <c r="X897">
        <v>0.5387154846278005</v>
      </c>
      <c r="Y897">
        <v>0.91965394809449696</v>
      </c>
    </row>
    <row r="898" spans="1:25" x14ac:dyDescent="0.2">
      <c r="A898" s="60" t="s">
        <v>4413</v>
      </c>
      <c r="B898" t="s">
        <v>4414</v>
      </c>
      <c r="C898" t="s">
        <v>4415</v>
      </c>
      <c r="D898" t="s">
        <v>1297</v>
      </c>
      <c r="F898">
        <v>301545</v>
      </c>
      <c r="J898">
        <v>1</v>
      </c>
      <c r="L898" t="s">
        <v>4416</v>
      </c>
      <c r="M898" t="s">
        <v>4417</v>
      </c>
      <c r="N898" t="s">
        <v>876</v>
      </c>
      <c r="O898" t="s">
        <v>1032</v>
      </c>
      <c r="P898" t="s">
        <v>1033</v>
      </c>
      <c r="T898" t="s">
        <v>0</v>
      </c>
      <c r="U898">
        <v>10000</v>
      </c>
      <c r="V898" t="s">
        <v>0</v>
      </c>
      <c r="W898">
        <v>10000</v>
      </c>
      <c r="X898">
        <v>0.11458333806604651</v>
      </c>
      <c r="Y898">
        <v>0.15625040853596395</v>
      </c>
    </row>
    <row r="899" spans="1:25" x14ac:dyDescent="0.2">
      <c r="A899" s="60" t="s">
        <v>4418</v>
      </c>
      <c r="B899" t="s">
        <v>4419</v>
      </c>
      <c r="C899" t="s">
        <v>4420</v>
      </c>
      <c r="D899" t="s">
        <v>1517</v>
      </c>
      <c r="F899">
        <v>301546</v>
      </c>
      <c r="J899">
        <v>1</v>
      </c>
      <c r="L899" t="s">
        <v>876</v>
      </c>
      <c r="M899" t="s">
        <v>876</v>
      </c>
      <c r="N899" t="s">
        <v>876</v>
      </c>
      <c r="O899" t="s">
        <v>876</v>
      </c>
      <c r="P899" t="s">
        <v>876</v>
      </c>
    </row>
    <row r="900" spans="1:25" x14ac:dyDescent="0.2">
      <c r="A900" s="60" t="s">
        <v>4421</v>
      </c>
      <c r="B900" t="s">
        <v>4422</v>
      </c>
      <c r="C900" t="s">
        <v>4423</v>
      </c>
      <c r="D900" t="s">
        <v>1318</v>
      </c>
      <c r="F900">
        <v>301547</v>
      </c>
      <c r="J900">
        <v>1</v>
      </c>
      <c r="L900" t="s">
        <v>4424</v>
      </c>
      <c r="M900" t="s">
        <v>927</v>
      </c>
      <c r="N900" t="s">
        <v>876</v>
      </c>
      <c r="O900" t="s">
        <v>1032</v>
      </c>
      <c r="P900" t="s">
        <v>1033</v>
      </c>
      <c r="T900">
        <v>1.9210489740000001</v>
      </c>
      <c r="U900">
        <v>0.295594941</v>
      </c>
      <c r="V900">
        <v>106.99790937470904</v>
      </c>
      <c r="W900">
        <v>45.894646415025441</v>
      </c>
      <c r="X900">
        <v>0.4481349697590053</v>
      </c>
      <c r="Y900">
        <v>0.53785836305373225</v>
      </c>
    </row>
    <row r="901" spans="1:25" x14ac:dyDescent="0.2">
      <c r="A901" s="60" t="s">
        <v>4425</v>
      </c>
      <c r="B901" t="s">
        <v>4426</v>
      </c>
      <c r="C901" t="s">
        <v>4427</v>
      </c>
      <c r="D901" t="s">
        <v>1318</v>
      </c>
      <c r="F901">
        <v>301548</v>
      </c>
      <c r="J901">
        <v>1</v>
      </c>
      <c r="L901" t="s">
        <v>4428</v>
      </c>
      <c r="M901" t="s">
        <v>4429</v>
      </c>
      <c r="N901" t="s">
        <v>876</v>
      </c>
      <c r="O901" t="s">
        <v>1032</v>
      </c>
      <c r="P901" t="s">
        <v>1033</v>
      </c>
      <c r="T901">
        <v>0.38532391799999999</v>
      </c>
      <c r="U901">
        <v>2.4202756999999998E-2</v>
      </c>
      <c r="V901">
        <v>10000</v>
      </c>
      <c r="W901">
        <v>10000</v>
      </c>
      <c r="X901">
        <v>0.28821245758496261</v>
      </c>
      <c r="Y901">
        <v>0.38908323523532934</v>
      </c>
    </row>
    <row r="902" spans="1:25" x14ac:dyDescent="0.2">
      <c r="A902" s="60" t="s">
        <v>4430</v>
      </c>
      <c r="B902" t="s">
        <v>4431</v>
      </c>
      <c r="C902" t="s">
        <v>4432</v>
      </c>
      <c r="D902" t="s">
        <v>1375</v>
      </c>
      <c r="F902">
        <v>301549</v>
      </c>
      <c r="J902">
        <v>1</v>
      </c>
      <c r="L902" t="s">
        <v>876</v>
      </c>
      <c r="M902" t="s">
        <v>876</v>
      </c>
      <c r="N902" t="s">
        <v>876</v>
      </c>
      <c r="O902" t="s">
        <v>876</v>
      </c>
      <c r="P902" t="s">
        <v>876</v>
      </c>
    </row>
    <row r="903" spans="1:25" x14ac:dyDescent="0.2">
      <c r="A903" s="60" t="s">
        <v>4433</v>
      </c>
      <c r="B903" t="s">
        <v>4434</v>
      </c>
      <c r="C903" t="s">
        <v>4435</v>
      </c>
      <c r="D903" t="s">
        <v>1514</v>
      </c>
      <c r="F903">
        <v>301550</v>
      </c>
      <c r="J903">
        <v>1</v>
      </c>
      <c r="L903" t="s">
        <v>876</v>
      </c>
      <c r="M903" t="s">
        <v>876</v>
      </c>
      <c r="N903" t="s">
        <v>876</v>
      </c>
      <c r="O903" t="s">
        <v>876</v>
      </c>
      <c r="P903" t="s">
        <v>876</v>
      </c>
    </row>
    <row r="904" spans="1:25" x14ac:dyDescent="0.2">
      <c r="A904" s="60" t="s">
        <v>4436</v>
      </c>
      <c r="B904" t="s">
        <v>4437</v>
      </c>
      <c r="C904" t="s">
        <v>4438</v>
      </c>
      <c r="D904" t="s">
        <v>1375</v>
      </c>
      <c r="F904">
        <v>301551</v>
      </c>
      <c r="J904">
        <v>1</v>
      </c>
      <c r="L904" t="s">
        <v>876</v>
      </c>
      <c r="M904" t="s">
        <v>876</v>
      </c>
      <c r="N904" t="s">
        <v>876</v>
      </c>
      <c r="O904" t="s">
        <v>876</v>
      </c>
      <c r="P904" t="s">
        <v>876</v>
      </c>
    </row>
    <row r="905" spans="1:25" x14ac:dyDescent="0.2">
      <c r="A905" s="60" t="s">
        <v>4439</v>
      </c>
      <c r="B905" t="s">
        <v>4440</v>
      </c>
      <c r="C905" t="s">
        <v>4441</v>
      </c>
      <c r="D905" t="s">
        <v>1375</v>
      </c>
      <c r="F905">
        <v>301552</v>
      </c>
      <c r="J905">
        <v>1</v>
      </c>
      <c r="L905" t="s">
        <v>876</v>
      </c>
      <c r="M905" t="s">
        <v>876</v>
      </c>
      <c r="N905" t="s">
        <v>876</v>
      </c>
      <c r="O905" t="s">
        <v>876</v>
      </c>
      <c r="P905" t="s">
        <v>876</v>
      </c>
    </row>
    <row r="906" spans="1:25" x14ac:dyDescent="0.2">
      <c r="A906" s="60" t="s">
        <v>4442</v>
      </c>
      <c r="B906" t="s">
        <v>4443</v>
      </c>
      <c r="C906" t="s">
        <v>4444</v>
      </c>
      <c r="D906" t="s">
        <v>1517</v>
      </c>
      <c r="F906">
        <v>301553</v>
      </c>
      <c r="J906">
        <v>1</v>
      </c>
      <c r="L906" t="s">
        <v>876</v>
      </c>
      <c r="M906" t="s">
        <v>876</v>
      </c>
      <c r="N906" t="s">
        <v>876</v>
      </c>
      <c r="O906" t="s">
        <v>876</v>
      </c>
      <c r="P906" t="s">
        <v>876</v>
      </c>
    </row>
    <row r="907" spans="1:25" x14ac:dyDescent="0.2">
      <c r="A907" s="60" t="s">
        <v>4445</v>
      </c>
      <c r="B907" t="s">
        <v>4446</v>
      </c>
      <c r="C907" t="s">
        <v>4447</v>
      </c>
      <c r="D907" t="s">
        <v>1514</v>
      </c>
      <c r="F907">
        <v>301554</v>
      </c>
      <c r="J907">
        <v>1</v>
      </c>
      <c r="L907" t="s">
        <v>876</v>
      </c>
      <c r="M907" t="s">
        <v>876</v>
      </c>
      <c r="N907" t="s">
        <v>876</v>
      </c>
      <c r="O907" t="s">
        <v>876</v>
      </c>
      <c r="P907" t="s">
        <v>876</v>
      </c>
    </row>
    <row r="908" spans="1:25" x14ac:dyDescent="0.2">
      <c r="A908" s="60" t="s">
        <v>4448</v>
      </c>
      <c r="B908" t="s">
        <v>4449</v>
      </c>
      <c r="C908" t="s">
        <v>4450</v>
      </c>
      <c r="D908" t="s">
        <v>1375</v>
      </c>
      <c r="F908">
        <v>301555</v>
      </c>
      <c r="J908">
        <v>1</v>
      </c>
      <c r="L908" t="s">
        <v>876</v>
      </c>
      <c r="M908" t="s">
        <v>876</v>
      </c>
      <c r="N908" t="s">
        <v>876</v>
      </c>
      <c r="O908" t="s">
        <v>876</v>
      </c>
      <c r="P908" t="s">
        <v>876</v>
      </c>
    </row>
    <row r="909" spans="1:25" x14ac:dyDescent="0.2">
      <c r="A909" s="60" t="s">
        <v>4451</v>
      </c>
      <c r="B909" t="s">
        <v>4452</v>
      </c>
      <c r="C909" t="s">
        <v>4453</v>
      </c>
      <c r="D909" t="s">
        <v>1318</v>
      </c>
      <c r="F909">
        <v>301556</v>
      </c>
      <c r="J909">
        <v>1</v>
      </c>
      <c r="L909" t="s">
        <v>4454</v>
      </c>
      <c r="M909" t="s">
        <v>4455</v>
      </c>
      <c r="N909" t="s">
        <v>876</v>
      </c>
      <c r="O909" t="s">
        <v>1032</v>
      </c>
      <c r="P909" t="s">
        <v>1033</v>
      </c>
      <c r="T909">
        <v>57.362495629999998</v>
      </c>
      <c r="U909">
        <v>3.2628890469999998</v>
      </c>
      <c r="V909">
        <v>64.557785064805842</v>
      </c>
      <c r="W909">
        <v>5.2303002355543757</v>
      </c>
      <c r="X909">
        <v>0.165866319503817</v>
      </c>
      <c r="Y909">
        <v>0.44357892646139574</v>
      </c>
    </row>
    <row r="910" spans="1:25" x14ac:dyDescent="0.2">
      <c r="A910" s="60" t="s">
        <v>4456</v>
      </c>
      <c r="B910" t="s">
        <v>4457</v>
      </c>
      <c r="C910" t="s">
        <v>4458</v>
      </c>
      <c r="D910" t="s">
        <v>1517</v>
      </c>
      <c r="F910">
        <v>301557</v>
      </c>
      <c r="J910">
        <v>1</v>
      </c>
      <c r="L910" t="s">
        <v>876</v>
      </c>
      <c r="M910" t="s">
        <v>876</v>
      </c>
      <c r="N910" t="s">
        <v>876</v>
      </c>
      <c r="O910" t="s">
        <v>876</v>
      </c>
      <c r="P910" t="s">
        <v>876</v>
      </c>
    </row>
    <row r="911" spans="1:25" x14ac:dyDescent="0.2">
      <c r="A911" s="60" t="s">
        <v>4459</v>
      </c>
      <c r="B911" t="s">
        <v>4460</v>
      </c>
      <c r="C911" t="s">
        <v>4461</v>
      </c>
      <c r="D911" t="s">
        <v>1297</v>
      </c>
      <c r="F911">
        <v>301558</v>
      </c>
      <c r="J911">
        <v>1</v>
      </c>
      <c r="L911" t="s">
        <v>4462</v>
      </c>
      <c r="M911" t="s">
        <v>4463</v>
      </c>
      <c r="N911" t="s">
        <v>876</v>
      </c>
      <c r="O911" t="s">
        <v>1032</v>
      </c>
      <c r="P911" t="s">
        <v>1033</v>
      </c>
      <c r="T911">
        <v>10000</v>
      </c>
      <c r="U911">
        <v>2.9547850000000001E-3</v>
      </c>
      <c r="V911">
        <v>10000</v>
      </c>
      <c r="W911">
        <v>6.746241129363012E-2</v>
      </c>
      <c r="X911">
        <v>6.7708325730822472E-2</v>
      </c>
      <c r="Y911">
        <v>0.88297637039775823</v>
      </c>
    </row>
    <row r="912" spans="1:25" x14ac:dyDescent="0.2">
      <c r="A912" s="60" t="s">
        <v>4464</v>
      </c>
      <c r="B912" t="s">
        <v>4465</v>
      </c>
      <c r="C912" t="s">
        <v>4466</v>
      </c>
      <c r="D912" t="s">
        <v>866</v>
      </c>
      <c r="F912">
        <v>301559</v>
      </c>
      <c r="J912">
        <v>1</v>
      </c>
      <c r="L912" t="s">
        <v>876</v>
      </c>
      <c r="M912" t="s">
        <v>876</v>
      </c>
      <c r="N912" t="s">
        <v>876</v>
      </c>
      <c r="O912" t="s">
        <v>876</v>
      </c>
      <c r="P912" t="s">
        <v>876</v>
      </c>
    </row>
    <row r="913" spans="1:25" x14ac:dyDescent="0.2">
      <c r="A913" s="60" t="s">
        <v>4467</v>
      </c>
      <c r="B913" t="s">
        <v>4468</v>
      </c>
      <c r="C913" t="s">
        <v>4469</v>
      </c>
      <c r="D913" t="s">
        <v>1517</v>
      </c>
      <c r="F913">
        <v>301560</v>
      </c>
      <c r="J913">
        <v>1</v>
      </c>
      <c r="L913" t="s">
        <v>876</v>
      </c>
      <c r="M913" t="s">
        <v>876</v>
      </c>
      <c r="N913" t="s">
        <v>876</v>
      </c>
      <c r="O913" t="s">
        <v>876</v>
      </c>
      <c r="P913" t="s">
        <v>876</v>
      </c>
    </row>
    <row r="914" spans="1:25" x14ac:dyDescent="0.2">
      <c r="A914" s="60" t="s">
        <v>4470</v>
      </c>
      <c r="B914" t="s">
        <v>4471</v>
      </c>
      <c r="C914" t="s">
        <v>4472</v>
      </c>
      <c r="D914" t="s">
        <v>1365</v>
      </c>
      <c r="F914">
        <v>301561</v>
      </c>
      <c r="J914">
        <v>1</v>
      </c>
      <c r="L914" t="s">
        <v>4473</v>
      </c>
      <c r="M914" t="s">
        <v>4474</v>
      </c>
      <c r="N914" t="s">
        <v>876</v>
      </c>
      <c r="O914" t="s">
        <v>1032</v>
      </c>
      <c r="P914" t="s">
        <v>1033</v>
      </c>
      <c r="Q914">
        <v>1</v>
      </c>
      <c r="S914">
        <v>1</v>
      </c>
      <c r="T914">
        <v>10.619413140000001</v>
      </c>
      <c r="U914">
        <v>10.748551340000001</v>
      </c>
      <c r="V914">
        <v>11.66947525533239</v>
      </c>
      <c r="W914">
        <v>11.885764540459421</v>
      </c>
      <c r="X914">
        <v>0.85141509123679215</v>
      </c>
      <c r="Y914">
        <v>0.8536163168813139</v>
      </c>
    </row>
    <row r="915" spans="1:25" x14ac:dyDescent="0.2">
      <c r="A915" s="60" t="s">
        <v>4475</v>
      </c>
      <c r="B915" t="s">
        <v>4476</v>
      </c>
      <c r="C915" t="s">
        <v>4477</v>
      </c>
      <c r="D915" t="s">
        <v>1514</v>
      </c>
      <c r="F915">
        <v>301562</v>
      </c>
      <c r="J915">
        <v>1</v>
      </c>
      <c r="L915" t="s">
        <v>876</v>
      </c>
      <c r="M915" t="s">
        <v>876</v>
      </c>
      <c r="N915" t="s">
        <v>876</v>
      </c>
      <c r="O915" t="s">
        <v>876</v>
      </c>
      <c r="P915" t="s">
        <v>876</v>
      </c>
    </row>
    <row r="916" spans="1:25" x14ac:dyDescent="0.2">
      <c r="A916" s="60" t="s">
        <v>4478</v>
      </c>
      <c r="B916" t="s">
        <v>4479</v>
      </c>
      <c r="C916" t="s">
        <v>4480</v>
      </c>
      <c r="D916" t="s">
        <v>1297</v>
      </c>
      <c r="F916">
        <v>301563</v>
      </c>
      <c r="J916">
        <v>1</v>
      </c>
      <c r="L916" t="s">
        <v>4481</v>
      </c>
      <c r="M916" t="s">
        <v>4482</v>
      </c>
      <c r="N916" t="s">
        <v>876</v>
      </c>
      <c r="O916" t="s">
        <v>1032</v>
      </c>
      <c r="P916" t="s">
        <v>1033</v>
      </c>
      <c r="Q916">
        <v>1</v>
      </c>
      <c r="R916">
        <v>1</v>
      </c>
      <c r="T916">
        <v>5.9545588230000002</v>
      </c>
      <c r="U916">
        <v>3.817974226</v>
      </c>
      <c r="V916">
        <v>10000</v>
      </c>
      <c r="W916">
        <v>6.3056624506248262</v>
      </c>
      <c r="X916">
        <v>0.14328169953306474</v>
      </c>
      <c r="Y916">
        <v>0.23021781668403082</v>
      </c>
    </row>
    <row r="917" spans="1:25" x14ac:dyDescent="0.2">
      <c r="A917" s="60" t="s">
        <v>4483</v>
      </c>
      <c r="B917" t="s">
        <v>4484</v>
      </c>
      <c r="C917" t="s">
        <v>4485</v>
      </c>
      <c r="D917" t="s">
        <v>1375</v>
      </c>
      <c r="F917">
        <v>301564</v>
      </c>
      <c r="J917">
        <v>1</v>
      </c>
      <c r="L917" t="s">
        <v>876</v>
      </c>
      <c r="M917" t="s">
        <v>876</v>
      </c>
      <c r="N917" t="s">
        <v>876</v>
      </c>
      <c r="O917" t="s">
        <v>876</v>
      </c>
      <c r="P917" t="s">
        <v>876</v>
      </c>
    </row>
    <row r="918" spans="1:25" x14ac:dyDescent="0.2">
      <c r="A918" s="60" t="s">
        <v>4486</v>
      </c>
      <c r="B918" t="s">
        <v>4487</v>
      </c>
      <c r="C918" t="s">
        <v>4488</v>
      </c>
      <c r="D918" t="s">
        <v>1514</v>
      </c>
      <c r="F918">
        <v>301565</v>
      </c>
      <c r="J918">
        <v>1</v>
      </c>
      <c r="L918" t="s">
        <v>876</v>
      </c>
      <c r="M918" t="s">
        <v>876</v>
      </c>
      <c r="N918" t="s">
        <v>876</v>
      </c>
      <c r="O918" t="s">
        <v>876</v>
      </c>
      <c r="P918" t="s">
        <v>876</v>
      </c>
    </row>
    <row r="919" spans="1:25" x14ac:dyDescent="0.2">
      <c r="A919" s="60" t="s">
        <v>4489</v>
      </c>
      <c r="B919" t="s">
        <v>4490</v>
      </c>
      <c r="C919" t="s">
        <v>4491</v>
      </c>
      <c r="D919" t="s">
        <v>866</v>
      </c>
      <c r="F919">
        <v>301566</v>
      </c>
      <c r="J919">
        <v>1</v>
      </c>
      <c r="L919" t="s">
        <v>876</v>
      </c>
      <c r="M919" t="s">
        <v>876</v>
      </c>
      <c r="N919" t="s">
        <v>876</v>
      </c>
      <c r="O919" t="s">
        <v>876</v>
      </c>
      <c r="P919" t="s">
        <v>876</v>
      </c>
    </row>
    <row r="920" spans="1:25" x14ac:dyDescent="0.2">
      <c r="A920" s="60" t="s">
        <v>4492</v>
      </c>
      <c r="B920" t="s">
        <v>4493</v>
      </c>
      <c r="C920" t="s">
        <v>4494</v>
      </c>
      <c r="D920" t="s">
        <v>1517</v>
      </c>
      <c r="F920">
        <v>301567</v>
      </c>
      <c r="J920">
        <v>1</v>
      </c>
      <c r="L920" t="s">
        <v>876</v>
      </c>
      <c r="M920" t="s">
        <v>876</v>
      </c>
      <c r="N920" t="s">
        <v>876</v>
      </c>
      <c r="O920" t="s">
        <v>876</v>
      </c>
      <c r="P920" t="s">
        <v>876</v>
      </c>
    </row>
    <row r="921" spans="1:25" x14ac:dyDescent="0.2">
      <c r="A921" s="60" t="s">
        <v>4495</v>
      </c>
      <c r="B921" t="s">
        <v>4496</v>
      </c>
      <c r="C921" t="s">
        <v>4497</v>
      </c>
      <c r="D921" t="s">
        <v>1514</v>
      </c>
      <c r="F921">
        <v>301568</v>
      </c>
      <c r="J921">
        <v>1</v>
      </c>
      <c r="L921" t="s">
        <v>876</v>
      </c>
      <c r="M921" t="s">
        <v>876</v>
      </c>
      <c r="N921" t="s">
        <v>876</v>
      </c>
      <c r="O921" t="s">
        <v>876</v>
      </c>
      <c r="P921" t="s">
        <v>876</v>
      </c>
    </row>
    <row r="922" spans="1:25" x14ac:dyDescent="0.2">
      <c r="A922" s="60" t="s">
        <v>1489</v>
      </c>
      <c r="B922" t="s">
        <v>4498</v>
      </c>
      <c r="C922" t="s">
        <v>4499</v>
      </c>
      <c r="D922" t="s">
        <v>1318</v>
      </c>
      <c r="F922">
        <v>301569</v>
      </c>
      <c r="J922">
        <v>1</v>
      </c>
      <c r="L922" t="s">
        <v>4500</v>
      </c>
      <c r="M922" t="s">
        <v>4501</v>
      </c>
      <c r="N922" t="s">
        <v>876</v>
      </c>
      <c r="O922" t="s">
        <v>1032</v>
      </c>
      <c r="P922" t="s">
        <v>1033</v>
      </c>
      <c r="T922">
        <v>10000</v>
      </c>
      <c r="U922">
        <v>10000</v>
      </c>
      <c r="V922">
        <v>10000</v>
      </c>
      <c r="W922">
        <v>10000</v>
      </c>
      <c r="X922">
        <v>1.8749956841172893E-2</v>
      </c>
      <c r="Y922">
        <v>4.6874992791027019E-2</v>
      </c>
    </row>
    <row r="923" spans="1:25" x14ac:dyDescent="0.2">
      <c r="A923" s="60" t="s">
        <v>4502</v>
      </c>
      <c r="B923" t="s">
        <v>4503</v>
      </c>
      <c r="C923" t="s">
        <v>4504</v>
      </c>
      <c r="D923" t="s">
        <v>1375</v>
      </c>
      <c r="F923">
        <v>301570</v>
      </c>
      <c r="J923">
        <v>1</v>
      </c>
      <c r="L923" t="s">
        <v>876</v>
      </c>
      <c r="M923" t="s">
        <v>876</v>
      </c>
      <c r="N923" t="s">
        <v>876</v>
      </c>
      <c r="O923" t="s">
        <v>876</v>
      </c>
      <c r="P923" t="s">
        <v>876</v>
      </c>
    </row>
    <row r="924" spans="1:25" x14ac:dyDescent="0.2">
      <c r="A924" s="60" t="s">
        <v>4505</v>
      </c>
      <c r="B924" t="s">
        <v>4506</v>
      </c>
      <c r="C924" t="s">
        <v>4507</v>
      </c>
      <c r="D924" t="s">
        <v>1375</v>
      </c>
      <c r="F924">
        <v>301571</v>
      </c>
      <c r="J924">
        <v>1</v>
      </c>
      <c r="L924" t="s">
        <v>876</v>
      </c>
      <c r="M924" t="s">
        <v>876</v>
      </c>
      <c r="N924" t="s">
        <v>876</v>
      </c>
      <c r="O924" t="s">
        <v>876</v>
      </c>
      <c r="P924" t="s">
        <v>876</v>
      </c>
    </row>
    <row r="925" spans="1:25" x14ac:dyDescent="0.2">
      <c r="A925" s="60" t="s">
        <v>1493</v>
      </c>
      <c r="B925" t="s">
        <v>4508</v>
      </c>
      <c r="C925" t="s">
        <v>4509</v>
      </c>
      <c r="D925" t="s">
        <v>1375</v>
      </c>
      <c r="F925">
        <v>301572</v>
      </c>
      <c r="J925">
        <v>1</v>
      </c>
      <c r="L925" t="s">
        <v>876</v>
      </c>
      <c r="M925" t="s">
        <v>876</v>
      </c>
      <c r="N925" t="s">
        <v>876</v>
      </c>
      <c r="O925" t="s">
        <v>876</v>
      </c>
      <c r="P925" t="s">
        <v>876</v>
      </c>
    </row>
    <row r="926" spans="1:25" x14ac:dyDescent="0.2">
      <c r="A926" s="60" t="s">
        <v>4510</v>
      </c>
      <c r="B926" t="s">
        <v>4511</v>
      </c>
      <c r="C926" t="s">
        <v>4512</v>
      </c>
      <c r="D926" t="s">
        <v>1318</v>
      </c>
      <c r="F926">
        <v>301573</v>
      </c>
      <c r="J926">
        <v>1</v>
      </c>
      <c r="L926" t="s">
        <v>4513</v>
      </c>
      <c r="M926" t="s">
        <v>4514</v>
      </c>
      <c r="N926" t="s">
        <v>876</v>
      </c>
      <c r="O926" t="s">
        <v>1032</v>
      </c>
      <c r="P926" t="s">
        <v>1033</v>
      </c>
      <c r="T926">
        <v>3.5986432709999998</v>
      </c>
      <c r="U926">
        <v>1.9425420980000001</v>
      </c>
      <c r="V926">
        <v>5.2085547340895575</v>
      </c>
      <c r="W926">
        <v>3.1299313007988618</v>
      </c>
      <c r="X926">
        <v>0.30808306149253006</v>
      </c>
      <c r="Y926">
        <v>0.91716244543685932</v>
      </c>
    </row>
    <row r="927" spans="1:25" x14ac:dyDescent="0.2">
      <c r="A927" s="60" t="s">
        <v>3580</v>
      </c>
      <c r="B927" t="s">
        <v>4515</v>
      </c>
      <c r="C927" t="s">
        <v>4516</v>
      </c>
      <c r="D927" t="s">
        <v>1517</v>
      </c>
      <c r="F927">
        <v>301574</v>
      </c>
      <c r="J927">
        <v>1</v>
      </c>
      <c r="L927" t="s">
        <v>876</v>
      </c>
      <c r="M927" t="s">
        <v>876</v>
      </c>
      <c r="N927" t="s">
        <v>876</v>
      </c>
      <c r="O927" t="s">
        <v>876</v>
      </c>
      <c r="P927" t="s">
        <v>876</v>
      </c>
    </row>
    <row r="928" spans="1:25" x14ac:dyDescent="0.2">
      <c r="A928" s="60" t="s">
        <v>4517</v>
      </c>
      <c r="B928" t="s">
        <v>4518</v>
      </c>
      <c r="C928" t="s">
        <v>4519</v>
      </c>
      <c r="D928" t="s">
        <v>866</v>
      </c>
      <c r="F928">
        <v>301575</v>
      </c>
      <c r="J928">
        <v>1</v>
      </c>
      <c r="L928" t="s">
        <v>876</v>
      </c>
      <c r="M928" t="s">
        <v>876</v>
      </c>
      <c r="N928" t="s">
        <v>876</v>
      </c>
      <c r="O928" t="s">
        <v>876</v>
      </c>
      <c r="P928" t="s">
        <v>876</v>
      </c>
    </row>
    <row r="929" spans="1:25" x14ac:dyDescent="0.2">
      <c r="A929" s="60" t="s">
        <v>4520</v>
      </c>
      <c r="B929" t="s">
        <v>4521</v>
      </c>
      <c r="C929" t="s">
        <v>4522</v>
      </c>
      <c r="D929" t="s">
        <v>1318</v>
      </c>
      <c r="F929">
        <v>301576</v>
      </c>
      <c r="J929">
        <v>1</v>
      </c>
      <c r="L929" t="s">
        <v>4523</v>
      </c>
      <c r="M929" t="s">
        <v>4524</v>
      </c>
      <c r="N929" t="s">
        <v>876</v>
      </c>
      <c r="O929" t="s">
        <v>1032</v>
      </c>
      <c r="P929" t="s">
        <v>1033</v>
      </c>
      <c r="R929">
        <v>1</v>
      </c>
      <c r="T929">
        <v>9.7340034469999992</v>
      </c>
      <c r="U929">
        <v>10.46685121</v>
      </c>
      <c r="V929">
        <v>10.606345965498235</v>
      </c>
      <c r="W929">
        <v>11.650483749718493</v>
      </c>
      <c r="X929">
        <v>0.85343749846632477</v>
      </c>
      <c r="Y929">
        <v>0.86437485589305929</v>
      </c>
    </row>
    <row r="930" spans="1:25" x14ac:dyDescent="0.2">
      <c r="A930" s="60" t="s">
        <v>4525</v>
      </c>
      <c r="B930" t="s">
        <v>4526</v>
      </c>
      <c r="C930" t="s">
        <v>4527</v>
      </c>
      <c r="D930" t="s">
        <v>1375</v>
      </c>
      <c r="F930">
        <v>301577</v>
      </c>
      <c r="J930">
        <v>1</v>
      </c>
      <c r="L930" t="s">
        <v>876</v>
      </c>
      <c r="M930" t="s">
        <v>876</v>
      </c>
      <c r="N930" t="s">
        <v>876</v>
      </c>
      <c r="O930" t="s">
        <v>876</v>
      </c>
      <c r="P930" t="s">
        <v>876</v>
      </c>
    </row>
    <row r="931" spans="1:25" x14ac:dyDescent="0.2">
      <c r="A931" s="60" t="s">
        <v>4528</v>
      </c>
      <c r="B931" t="s">
        <v>4529</v>
      </c>
      <c r="C931" t="s">
        <v>4530</v>
      </c>
      <c r="D931" t="s">
        <v>1514</v>
      </c>
      <c r="F931">
        <v>301578</v>
      </c>
      <c r="J931">
        <v>1</v>
      </c>
      <c r="L931" t="s">
        <v>876</v>
      </c>
      <c r="M931" t="s">
        <v>876</v>
      </c>
      <c r="N931" t="s">
        <v>876</v>
      </c>
      <c r="O931" t="s">
        <v>876</v>
      </c>
      <c r="P931" t="s">
        <v>876</v>
      </c>
    </row>
    <row r="932" spans="1:25" x14ac:dyDescent="0.2">
      <c r="A932" s="60" t="s">
        <v>4531</v>
      </c>
      <c r="B932" t="s">
        <v>4532</v>
      </c>
      <c r="C932" t="s">
        <v>4533</v>
      </c>
      <c r="D932" t="s">
        <v>866</v>
      </c>
      <c r="F932">
        <v>301579</v>
      </c>
      <c r="J932">
        <v>1</v>
      </c>
      <c r="L932" t="s">
        <v>876</v>
      </c>
      <c r="M932" t="s">
        <v>876</v>
      </c>
      <c r="N932" t="s">
        <v>876</v>
      </c>
      <c r="O932" t="s">
        <v>876</v>
      </c>
      <c r="P932" t="s">
        <v>876</v>
      </c>
    </row>
    <row r="933" spans="1:25" x14ac:dyDescent="0.2">
      <c r="A933" s="60" t="s">
        <v>4534</v>
      </c>
      <c r="B933" t="s">
        <v>4535</v>
      </c>
      <c r="C933" t="s">
        <v>4536</v>
      </c>
      <c r="D933" t="s">
        <v>1514</v>
      </c>
      <c r="F933">
        <v>301580</v>
      </c>
      <c r="J933">
        <v>1</v>
      </c>
      <c r="L933" t="s">
        <v>876</v>
      </c>
      <c r="M933" t="s">
        <v>876</v>
      </c>
      <c r="N933" t="s">
        <v>876</v>
      </c>
      <c r="O933" t="s">
        <v>876</v>
      </c>
      <c r="P933" t="s">
        <v>876</v>
      </c>
    </row>
    <row r="934" spans="1:25" x14ac:dyDescent="0.2">
      <c r="A934" s="60" t="s">
        <v>4537</v>
      </c>
      <c r="B934" t="s">
        <v>4538</v>
      </c>
      <c r="C934" t="s">
        <v>4539</v>
      </c>
      <c r="D934" t="s">
        <v>1375</v>
      </c>
      <c r="F934">
        <v>301581</v>
      </c>
      <c r="J934">
        <v>1</v>
      </c>
      <c r="L934" t="s">
        <v>876</v>
      </c>
      <c r="M934" t="s">
        <v>876</v>
      </c>
      <c r="N934" t="s">
        <v>876</v>
      </c>
      <c r="O934" t="s">
        <v>876</v>
      </c>
      <c r="P934" t="s">
        <v>876</v>
      </c>
    </row>
    <row r="935" spans="1:25" x14ac:dyDescent="0.2">
      <c r="A935" s="60" t="s">
        <v>1502</v>
      </c>
      <c r="B935" t="s">
        <v>4540</v>
      </c>
      <c r="C935" t="s">
        <v>4541</v>
      </c>
      <c r="D935" t="s">
        <v>1517</v>
      </c>
      <c r="F935">
        <v>301582</v>
      </c>
      <c r="J935">
        <v>1</v>
      </c>
      <c r="L935" t="s">
        <v>876</v>
      </c>
      <c r="M935" t="s">
        <v>876</v>
      </c>
      <c r="N935" t="s">
        <v>876</v>
      </c>
      <c r="O935" t="s">
        <v>876</v>
      </c>
      <c r="P935" t="s">
        <v>876</v>
      </c>
    </row>
    <row r="936" spans="1:25" x14ac:dyDescent="0.2">
      <c r="A936" s="60" t="s">
        <v>4542</v>
      </c>
      <c r="B936" t="s">
        <v>4543</v>
      </c>
      <c r="C936" t="s">
        <v>4544</v>
      </c>
      <c r="D936" t="s">
        <v>1375</v>
      </c>
      <c r="F936">
        <v>301583</v>
      </c>
      <c r="J936">
        <v>1</v>
      </c>
      <c r="L936" t="s">
        <v>876</v>
      </c>
      <c r="M936" t="s">
        <v>876</v>
      </c>
      <c r="N936" t="s">
        <v>876</v>
      </c>
      <c r="O936" t="s">
        <v>876</v>
      </c>
      <c r="P936" t="s">
        <v>876</v>
      </c>
    </row>
    <row r="937" spans="1:25" x14ac:dyDescent="0.2">
      <c r="A937" s="60" t="s">
        <v>4545</v>
      </c>
      <c r="B937" t="s">
        <v>4546</v>
      </c>
      <c r="C937" t="s">
        <v>4547</v>
      </c>
      <c r="D937" t="s">
        <v>866</v>
      </c>
      <c r="F937">
        <v>301584</v>
      </c>
      <c r="J937">
        <v>1</v>
      </c>
      <c r="L937" t="s">
        <v>876</v>
      </c>
      <c r="M937" t="s">
        <v>876</v>
      </c>
      <c r="N937" t="s">
        <v>876</v>
      </c>
      <c r="O937" t="s">
        <v>876</v>
      </c>
      <c r="P937" t="s">
        <v>876</v>
      </c>
    </row>
    <row r="938" spans="1:25" x14ac:dyDescent="0.2">
      <c r="A938" s="60" t="s">
        <v>4548</v>
      </c>
      <c r="B938" t="s">
        <v>4549</v>
      </c>
      <c r="C938" t="s">
        <v>4550</v>
      </c>
      <c r="D938" t="s">
        <v>866</v>
      </c>
      <c r="F938">
        <v>301585</v>
      </c>
      <c r="J938">
        <v>1</v>
      </c>
      <c r="L938" t="s">
        <v>876</v>
      </c>
      <c r="M938" t="s">
        <v>876</v>
      </c>
      <c r="N938" t="s">
        <v>876</v>
      </c>
      <c r="O938" t="s">
        <v>876</v>
      </c>
      <c r="P938" t="s">
        <v>876</v>
      </c>
    </row>
    <row r="939" spans="1:25" x14ac:dyDescent="0.2">
      <c r="A939" s="60" t="s">
        <v>3944</v>
      </c>
      <c r="B939" t="s">
        <v>4551</v>
      </c>
      <c r="C939" t="s">
        <v>4552</v>
      </c>
      <c r="D939" t="s">
        <v>1297</v>
      </c>
      <c r="F939">
        <v>301586</v>
      </c>
      <c r="J939">
        <v>1</v>
      </c>
      <c r="L939" t="s">
        <v>876</v>
      </c>
      <c r="M939" t="s">
        <v>876</v>
      </c>
      <c r="N939" t="s">
        <v>876</v>
      </c>
      <c r="O939" t="s">
        <v>876</v>
      </c>
      <c r="P939" t="s">
        <v>876</v>
      </c>
      <c r="T939">
        <v>10000</v>
      </c>
      <c r="U939">
        <v>5.8058079009999997</v>
      </c>
      <c r="V939">
        <v>10000</v>
      </c>
      <c r="W939">
        <v>7.466168822431178</v>
      </c>
      <c r="X939">
        <v>0.20833333671613397</v>
      </c>
      <c r="Y939">
        <v>0.88841237602377487</v>
      </c>
    </row>
    <row r="940" spans="1:25" x14ac:dyDescent="0.2">
      <c r="A940" s="60" t="s">
        <v>4553</v>
      </c>
      <c r="B940" t="s">
        <v>4554</v>
      </c>
      <c r="C940" t="s">
        <v>4555</v>
      </c>
      <c r="D940" t="s">
        <v>866</v>
      </c>
      <c r="F940">
        <v>301587</v>
      </c>
      <c r="J940">
        <v>1</v>
      </c>
      <c r="L940" t="s">
        <v>876</v>
      </c>
      <c r="M940" t="s">
        <v>876</v>
      </c>
      <c r="N940" t="s">
        <v>876</v>
      </c>
      <c r="O940" t="s">
        <v>876</v>
      </c>
      <c r="P940" t="s">
        <v>876</v>
      </c>
    </row>
    <row r="941" spans="1:25" x14ac:dyDescent="0.2">
      <c r="A941" s="60" t="s">
        <v>4556</v>
      </c>
      <c r="B941" t="s">
        <v>4557</v>
      </c>
      <c r="C941" t="s">
        <v>4558</v>
      </c>
      <c r="D941" t="s">
        <v>1375</v>
      </c>
      <c r="F941">
        <v>301588</v>
      </c>
      <c r="J941">
        <v>1</v>
      </c>
      <c r="L941" t="s">
        <v>876</v>
      </c>
      <c r="M941" t="s">
        <v>876</v>
      </c>
      <c r="N941" t="s">
        <v>876</v>
      </c>
      <c r="O941" t="s">
        <v>876</v>
      </c>
      <c r="P941" t="s">
        <v>876</v>
      </c>
    </row>
    <row r="942" spans="1:25" x14ac:dyDescent="0.2">
      <c r="A942" s="60" t="s">
        <v>4559</v>
      </c>
      <c r="B942" t="s">
        <v>4560</v>
      </c>
      <c r="C942" t="s">
        <v>4561</v>
      </c>
      <c r="D942" t="s">
        <v>866</v>
      </c>
      <c r="F942">
        <v>301589</v>
      </c>
      <c r="J942">
        <v>1</v>
      </c>
      <c r="L942" t="s">
        <v>876</v>
      </c>
      <c r="M942" t="s">
        <v>876</v>
      </c>
      <c r="N942" t="s">
        <v>876</v>
      </c>
      <c r="O942" t="s">
        <v>876</v>
      </c>
      <c r="P942" t="s">
        <v>876</v>
      </c>
    </row>
    <row r="943" spans="1:25" x14ac:dyDescent="0.2">
      <c r="A943" s="60" t="s">
        <v>4562</v>
      </c>
      <c r="B943" t="s">
        <v>4563</v>
      </c>
      <c r="C943" t="s">
        <v>4564</v>
      </c>
      <c r="D943" t="s">
        <v>1375</v>
      </c>
      <c r="F943">
        <v>301590</v>
      </c>
      <c r="J943">
        <v>1</v>
      </c>
      <c r="L943" t="s">
        <v>876</v>
      </c>
      <c r="M943" t="s">
        <v>876</v>
      </c>
      <c r="N943" t="s">
        <v>876</v>
      </c>
      <c r="O943" t="s">
        <v>876</v>
      </c>
      <c r="P943" t="s">
        <v>876</v>
      </c>
    </row>
    <row r="944" spans="1:25" x14ac:dyDescent="0.2">
      <c r="A944" s="60" t="s">
        <v>4565</v>
      </c>
      <c r="B944" t="s">
        <v>4566</v>
      </c>
      <c r="C944" t="s">
        <v>4567</v>
      </c>
      <c r="D944" t="s">
        <v>866</v>
      </c>
      <c r="F944">
        <v>301591</v>
      </c>
      <c r="J944">
        <v>1</v>
      </c>
      <c r="L944" t="s">
        <v>876</v>
      </c>
      <c r="M944" t="s">
        <v>876</v>
      </c>
      <c r="N944" t="s">
        <v>876</v>
      </c>
      <c r="O944" t="s">
        <v>876</v>
      </c>
      <c r="P944" t="s">
        <v>876</v>
      </c>
    </row>
    <row r="945" spans="1:25" x14ac:dyDescent="0.2">
      <c r="A945" s="60" t="s">
        <v>4568</v>
      </c>
      <c r="B945" t="s">
        <v>4569</v>
      </c>
      <c r="C945" t="s">
        <v>4570</v>
      </c>
      <c r="D945" t="s">
        <v>866</v>
      </c>
      <c r="F945">
        <v>301592</v>
      </c>
      <c r="J945">
        <v>1</v>
      </c>
      <c r="L945" t="s">
        <v>876</v>
      </c>
      <c r="M945" t="s">
        <v>876</v>
      </c>
      <c r="N945" t="s">
        <v>876</v>
      </c>
      <c r="O945" t="s">
        <v>876</v>
      </c>
      <c r="P945" t="s">
        <v>876</v>
      </c>
    </row>
    <row r="946" spans="1:25" x14ac:dyDescent="0.2">
      <c r="A946" s="60" t="s">
        <v>4571</v>
      </c>
      <c r="B946" t="s">
        <v>4572</v>
      </c>
      <c r="C946" t="s">
        <v>4573</v>
      </c>
      <c r="D946" t="s">
        <v>1394</v>
      </c>
      <c r="F946">
        <v>301593</v>
      </c>
      <c r="J946">
        <v>1</v>
      </c>
      <c r="L946" t="s">
        <v>4574</v>
      </c>
      <c r="M946" t="s">
        <v>2455</v>
      </c>
      <c r="N946" t="s">
        <v>876</v>
      </c>
      <c r="O946" t="s">
        <v>1032</v>
      </c>
      <c r="P946" t="s">
        <v>1033</v>
      </c>
      <c r="Q946">
        <v>1</v>
      </c>
      <c r="S946">
        <v>1</v>
      </c>
      <c r="T946">
        <v>5.2685521609999997</v>
      </c>
      <c r="U946">
        <v>3.6848020539999999</v>
      </c>
      <c r="V946">
        <v>71.506111664270193</v>
      </c>
      <c r="W946">
        <v>21.887780836524215</v>
      </c>
      <c r="X946">
        <v>0.46998259324853442</v>
      </c>
      <c r="Y946">
        <v>0.69131692074174678</v>
      </c>
    </row>
    <row r="947" spans="1:25" x14ac:dyDescent="0.2">
      <c r="A947" s="60" t="s">
        <v>4575</v>
      </c>
      <c r="B947" t="s">
        <v>4576</v>
      </c>
      <c r="C947" t="s">
        <v>4577</v>
      </c>
      <c r="D947" t="s">
        <v>1375</v>
      </c>
      <c r="F947">
        <v>301594</v>
      </c>
      <c r="J947">
        <v>1</v>
      </c>
      <c r="L947" t="s">
        <v>876</v>
      </c>
      <c r="M947" t="s">
        <v>876</v>
      </c>
      <c r="N947" t="s">
        <v>876</v>
      </c>
      <c r="O947" t="s">
        <v>876</v>
      </c>
      <c r="P947" t="s">
        <v>876</v>
      </c>
    </row>
    <row r="948" spans="1:25" x14ac:dyDescent="0.2">
      <c r="A948" s="60" t="s">
        <v>4578</v>
      </c>
      <c r="B948" t="s">
        <v>4579</v>
      </c>
      <c r="C948" t="s">
        <v>4580</v>
      </c>
      <c r="D948" t="s">
        <v>1517</v>
      </c>
      <c r="F948">
        <v>301595</v>
      </c>
      <c r="J948">
        <v>1</v>
      </c>
      <c r="L948" t="s">
        <v>876</v>
      </c>
      <c r="M948" t="s">
        <v>876</v>
      </c>
      <c r="N948" t="s">
        <v>876</v>
      </c>
      <c r="O948" t="s">
        <v>876</v>
      </c>
      <c r="P948" t="s">
        <v>876</v>
      </c>
    </row>
    <row r="949" spans="1:25" x14ac:dyDescent="0.2">
      <c r="A949" s="60" t="s">
        <v>4581</v>
      </c>
      <c r="B949" t="s">
        <v>4582</v>
      </c>
      <c r="C949" t="s">
        <v>4583</v>
      </c>
      <c r="D949" t="s">
        <v>1375</v>
      </c>
      <c r="F949">
        <v>301596</v>
      </c>
      <c r="J949">
        <v>1</v>
      </c>
      <c r="L949" t="s">
        <v>876</v>
      </c>
      <c r="M949" t="s">
        <v>876</v>
      </c>
      <c r="N949" t="s">
        <v>876</v>
      </c>
      <c r="O949" t="s">
        <v>876</v>
      </c>
      <c r="P949" t="s">
        <v>876</v>
      </c>
    </row>
    <row r="950" spans="1:25" x14ac:dyDescent="0.2">
      <c r="A950" s="60" t="s">
        <v>4584</v>
      </c>
      <c r="B950" t="s">
        <v>4585</v>
      </c>
      <c r="C950" t="s">
        <v>4586</v>
      </c>
      <c r="D950" t="s">
        <v>1514</v>
      </c>
      <c r="F950">
        <v>301597</v>
      </c>
      <c r="J950">
        <v>1</v>
      </c>
      <c r="L950" t="s">
        <v>876</v>
      </c>
      <c r="M950" t="s">
        <v>876</v>
      </c>
      <c r="N950" t="s">
        <v>876</v>
      </c>
      <c r="O950" t="s">
        <v>876</v>
      </c>
      <c r="P950" t="s">
        <v>876</v>
      </c>
    </row>
    <row r="951" spans="1:25" x14ac:dyDescent="0.2">
      <c r="A951" s="60" t="s">
        <v>4587</v>
      </c>
      <c r="B951" t="s">
        <v>4588</v>
      </c>
      <c r="C951" t="s">
        <v>4589</v>
      </c>
      <c r="D951" t="s">
        <v>2190</v>
      </c>
      <c r="F951">
        <v>301598</v>
      </c>
      <c r="J951">
        <v>1</v>
      </c>
      <c r="L951" t="s">
        <v>876</v>
      </c>
      <c r="M951" t="s">
        <v>876</v>
      </c>
      <c r="N951" t="s">
        <v>876</v>
      </c>
      <c r="O951" t="s">
        <v>876</v>
      </c>
      <c r="P951" t="s">
        <v>876</v>
      </c>
    </row>
    <row r="952" spans="1:25" x14ac:dyDescent="0.2">
      <c r="A952" s="60" t="s">
        <v>4590</v>
      </c>
      <c r="B952" t="s">
        <v>4591</v>
      </c>
      <c r="C952" t="s">
        <v>4592</v>
      </c>
      <c r="D952" t="s">
        <v>1517</v>
      </c>
      <c r="F952">
        <v>301599</v>
      </c>
      <c r="J952">
        <v>1</v>
      </c>
      <c r="L952" t="s">
        <v>876</v>
      </c>
      <c r="M952" t="s">
        <v>876</v>
      </c>
      <c r="N952" t="s">
        <v>876</v>
      </c>
      <c r="O952" t="s">
        <v>876</v>
      </c>
      <c r="P952" t="s">
        <v>876</v>
      </c>
    </row>
    <row r="953" spans="1:25" x14ac:dyDescent="0.2">
      <c r="A953" s="60" t="s">
        <v>1509</v>
      </c>
      <c r="B953" t="s">
        <v>4593</v>
      </c>
      <c r="C953" t="s">
        <v>4594</v>
      </c>
      <c r="D953" t="s">
        <v>866</v>
      </c>
      <c r="F953">
        <v>301600</v>
      </c>
      <c r="J953">
        <v>1</v>
      </c>
      <c r="L953" t="s">
        <v>876</v>
      </c>
      <c r="M953" t="s">
        <v>876</v>
      </c>
      <c r="N953" t="s">
        <v>876</v>
      </c>
      <c r="O953" t="s">
        <v>876</v>
      </c>
      <c r="P953" t="s">
        <v>876</v>
      </c>
    </row>
    <row r="954" spans="1:25" x14ac:dyDescent="0.2">
      <c r="A954" s="60" t="s">
        <v>4595</v>
      </c>
      <c r="B954" t="s">
        <v>4596</v>
      </c>
      <c r="C954" t="s">
        <v>4597</v>
      </c>
      <c r="D954" t="s">
        <v>1375</v>
      </c>
      <c r="F954">
        <v>301601</v>
      </c>
      <c r="J954">
        <v>1</v>
      </c>
      <c r="L954" t="s">
        <v>876</v>
      </c>
      <c r="M954" t="s">
        <v>876</v>
      </c>
      <c r="N954" t="s">
        <v>876</v>
      </c>
      <c r="O954" t="s">
        <v>876</v>
      </c>
      <c r="P954" t="s">
        <v>876</v>
      </c>
    </row>
    <row r="955" spans="1:25" x14ac:dyDescent="0.2">
      <c r="A955" s="60" t="s">
        <v>761</v>
      </c>
      <c r="B955" t="s">
        <v>4598</v>
      </c>
      <c r="C955" t="s">
        <v>4599</v>
      </c>
      <c r="D955" t="s">
        <v>1318</v>
      </c>
      <c r="F955">
        <v>301602</v>
      </c>
      <c r="J955">
        <v>1</v>
      </c>
      <c r="L955" t="s">
        <v>4600</v>
      </c>
      <c r="M955" t="s">
        <v>4601</v>
      </c>
      <c r="N955" t="s">
        <v>876</v>
      </c>
      <c r="O955" t="s">
        <v>1032</v>
      </c>
      <c r="P955" t="s">
        <v>1033</v>
      </c>
      <c r="Q955">
        <v>1</v>
      </c>
      <c r="R955">
        <v>1</v>
      </c>
      <c r="S955">
        <v>1</v>
      </c>
      <c r="T955">
        <v>61.997375750000003</v>
      </c>
      <c r="U955">
        <v>17.710096629999999</v>
      </c>
      <c r="V955">
        <v>69.544323691155796</v>
      </c>
      <c r="W955">
        <v>10000</v>
      </c>
      <c r="X955">
        <v>0.21716658897255664</v>
      </c>
      <c r="Y955">
        <v>0.3298753060116304</v>
      </c>
    </row>
    <row r="956" spans="1:25" x14ac:dyDescent="0.2">
      <c r="A956" s="60" t="s">
        <v>685</v>
      </c>
      <c r="B956" t="s">
        <v>4602</v>
      </c>
      <c r="C956" t="s">
        <v>4603</v>
      </c>
      <c r="D956" t="s">
        <v>1514</v>
      </c>
      <c r="F956">
        <v>301603</v>
      </c>
      <c r="J956">
        <v>1</v>
      </c>
      <c r="L956" t="s">
        <v>876</v>
      </c>
      <c r="M956" t="s">
        <v>876</v>
      </c>
      <c r="N956" t="s">
        <v>876</v>
      </c>
      <c r="O956" t="s">
        <v>876</v>
      </c>
      <c r="P956" t="s">
        <v>876</v>
      </c>
    </row>
    <row r="957" spans="1:25" x14ac:dyDescent="0.2">
      <c r="A957" s="60" t="s">
        <v>4604</v>
      </c>
      <c r="B957" t="s">
        <v>4605</v>
      </c>
      <c r="C957" t="s">
        <v>4606</v>
      </c>
      <c r="D957" t="s">
        <v>1375</v>
      </c>
      <c r="F957">
        <v>301604</v>
      </c>
      <c r="J957">
        <v>1</v>
      </c>
      <c r="L957" t="s">
        <v>876</v>
      </c>
      <c r="M957" t="s">
        <v>876</v>
      </c>
      <c r="N957" t="s">
        <v>876</v>
      </c>
      <c r="O957" t="s">
        <v>876</v>
      </c>
      <c r="P957" t="s">
        <v>876</v>
      </c>
    </row>
    <row r="958" spans="1:25" x14ac:dyDescent="0.2">
      <c r="A958" s="60" t="s">
        <v>4607</v>
      </c>
      <c r="B958" t="s">
        <v>4608</v>
      </c>
      <c r="C958" t="s">
        <v>4609</v>
      </c>
      <c r="D958" t="s">
        <v>1318</v>
      </c>
      <c r="F958">
        <v>301605</v>
      </c>
      <c r="J958">
        <v>1</v>
      </c>
      <c r="L958" t="s">
        <v>4610</v>
      </c>
      <c r="M958" t="s">
        <v>4611</v>
      </c>
      <c r="N958" t="s">
        <v>876</v>
      </c>
      <c r="O958" t="s">
        <v>1032</v>
      </c>
      <c r="P958" t="s">
        <v>1033</v>
      </c>
      <c r="T958">
        <v>65.889448470000005</v>
      </c>
      <c r="U958">
        <v>60.923062649999999</v>
      </c>
      <c r="V958">
        <v>73.745802792678987</v>
      </c>
      <c r="W958">
        <v>68.401123670110536</v>
      </c>
      <c r="X958">
        <v>0.11010751985215407</v>
      </c>
      <c r="Y958">
        <v>0.12859642740266911</v>
      </c>
    </row>
    <row r="959" spans="1:25" x14ac:dyDescent="0.2">
      <c r="A959" s="60" t="s">
        <v>4612</v>
      </c>
      <c r="B959" t="s">
        <v>4613</v>
      </c>
      <c r="C959" t="s">
        <v>4614</v>
      </c>
      <c r="D959" t="s">
        <v>1394</v>
      </c>
      <c r="F959">
        <v>301606</v>
      </c>
      <c r="J959">
        <v>1</v>
      </c>
      <c r="L959" t="s">
        <v>4615</v>
      </c>
      <c r="M959" t="s">
        <v>4616</v>
      </c>
      <c r="N959" t="s">
        <v>876</v>
      </c>
      <c r="O959" t="s">
        <v>1032</v>
      </c>
      <c r="P959" t="s">
        <v>1033</v>
      </c>
      <c r="T959">
        <v>10000</v>
      </c>
      <c r="U959">
        <v>10000</v>
      </c>
      <c r="V959">
        <v>10000</v>
      </c>
      <c r="W959">
        <v>10000</v>
      </c>
      <c r="X959">
        <v>0.14583332596435591</v>
      </c>
      <c r="Y959">
        <v>0.16145833253112651</v>
      </c>
    </row>
    <row r="960" spans="1:25" x14ac:dyDescent="0.2">
      <c r="A960" s="60" t="s">
        <v>4617</v>
      </c>
      <c r="B960" t="s">
        <v>4618</v>
      </c>
      <c r="C960" t="s">
        <v>4619</v>
      </c>
      <c r="D960" t="s">
        <v>1307</v>
      </c>
      <c r="F960">
        <v>301607</v>
      </c>
      <c r="J960">
        <v>1</v>
      </c>
      <c r="L960" t="s">
        <v>4620</v>
      </c>
      <c r="M960" t="s">
        <v>4621</v>
      </c>
      <c r="N960" t="s">
        <v>876</v>
      </c>
      <c r="O960" t="s">
        <v>1032</v>
      </c>
      <c r="P960" t="s">
        <v>1033</v>
      </c>
      <c r="T960" t="s">
        <v>0</v>
      </c>
      <c r="U960">
        <v>0.51687550999999998</v>
      </c>
      <c r="V960" t="s">
        <v>0</v>
      </c>
      <c r="W960">
        <v>7.5479604964774758</v>
      </c>
      <c r="X960">
        <v>0.25081232267206266</v>
      </c>
      <c r="Y960">
        <v>0.72684611824861878</v>
      </c>
    </row>
    <row r="961" spans="1:25" x14ac:dyDescent="0.2">
      <c r="A961" s="60" t="s">
        <v>4622</v>
      </c>
      <c r="B961" t="s">
        <v>4623</v>
      </c>
      <c r="C961" t="s">
        <v>4624</v>
      </c>
      <c r="D961" t="s">
        <v>1307</v>
      </c>
      <c r="F961">
        <v>301608</v>
      </c>
      <c r="J961">
        <v>1</v>
      </c>
      <c r="L961" t="s">
        <v>4625</v>
      </c>
      <c r="M961" t="s">
        <v>4626</v>
      </c>
      <c r="N961" t="s">
        <v>876</v>
      </c>
      <c r="O961" t="s">
        <v>1032</v>
      </c>
      <c r="P961" t="s">
        <v>1033</v>
      </c>
      <c r="T961">
        <v>60.770089859999999</v>
      </c>
      <c r="U961">
        <v>59.452592340000002</v>
      </c>
      <c r="V961">
        <v>68.246628373017913</v>
      </c>
      <c r="W961">
        <v>66.860623268429364</v>
      </c>
      <c r="X961">
        <v>8.014949405996509E-2</v>
      </c>
      <c r="Y961">
        <v>0.11696765907585283</v>
      </c>
    </row>
    <row r="962" spans="1:25" x14ac:dyDescent="0.2">
      <c r="A962" s="60" t="s">
        <v>4627</v>
      </c>
      <c r="B962" t="s">
        <v>4628</v>
      </c>
      <c r="C962" t="s">
        <v>4629</v>
      </c>
      <c r="D962" t="s">
        <v>1318</v>
      </c>
      <c r="F962">
        <v>301609</v>
      </c>
      <c r="J962">
        <v>1</v>
      </c>
      <c r="L962" t="s">
        <v>4630</v>
      </c>
      <c r="M962" t="s">
        <v>4631</v>
      </c>
      <c r="N962" t="s">
        <v>876</v>
      </c>
      <c r="O962" t="s">
        <v>1032</v>
      </c>
      <c r="P962" t="s">
        <v>1033</v>
      </c>
      <c r="T962">
        <v>42.03398748</v>
      </c>
      <c r="U962">
        <v>0.26373390899999999</v>
      </c>
      <c r="V962">
        <v>102.83102209756106</v>
      </c>
      <c r="W962">
        <v>3.8636832461561146</v>
      </c>
      <c r="X962">
        <v>0.16366675693858856</v>
      </c>
      <c r="Y962">
        <v>0.75357182616698515</v>
      </c>
    </row>
    <row r="963" spans="1:25" x14ac:dyDescent="0.2">
      <c r="A963" s="60" t="s">
        <v>4632</v>
      </c>
      <c r="B963" t="s">
        <v>4633</v>
      </c>
      <c r="C963" t="s">
        <v>4634</v>
      </c>
      <c r="D963" t="s">
        <v>1307</v>
      </c>
      <c r="F963">
        <v>301610</v>
      </c>
      <c r="J963">
        <v>1</v>
      </c>
      <c r="L963" t="s">
        <v>4635</v>
      </c>
      <c r="M963" t="s">
        <v>4636</v>
      </c>
      <c r="N963" t="s">
        <v>876</v>
      </c>
      <c r="O963" t="s">
        <v>1032</v>
      </c>
      <c r="P963" t="s">
        <v>1033</v>
      </c>
      <c r="T963">
        <v>10000</v>
      </c>
      <c r="U963">
        <v>10000</v>
      </c>
      <c r="V963">
        <v>10000</v>
      </c>
      <c r="W963">
        <v>10000</v>
      </c>
      <c r="X963">
        <v>8.3333325805719033E-2</v>
      </c>
      <c r="Y963">
        <v>9.3749993004232771E-2</v>
      </c>
    </row>
    <row r="964" spans="1:25" x14ac:dyDescent="0.2">
      <c r="A964" s="60" t="s">
        <v>4637</v>
      </c>
      <c r="B964" t="s">
        <v>4638</v>
      </c>
      <c r="C964" t="s">
        <v>4639</v>
      </c>
      <c r="D964" t="s">
        <v>1517</v>
      </c>
      <c r="F964">
        <v>301611</v>
      </c>
      <c r="J964">
        <v>1</v>
      </c>
      <c r="L964" t="s">
        <v>876</v>
      </c>
      <c r="M964" t="s">
        <v>876</v>
      </c>
      <c r="N964" t="s">
        <v>876</v>
      </c>
      <c r="O964" t="s">
        <v>876</v>
      </c>
      <c r="P964" t="s">
        <v>876</v>
      </c>
    </row>
    <row r="965" spans="1:25" x14ac:dyDescent="0.2">
      <c r="A965" s="60" t="s">
        <v>4640</v>
      </c>
      <c r="B965" t="s">
        <v>4641</v>
      </c>
      <c r="C965" t="s">
        <v>4642</v>
      </c>
      <c r="D965" t="s">
        <v>1375</v>
      </c>
      <c r="F965">
        <v>301612</v>
      </c>
      <c r="J965">
        <v>1</v>
      </c>
      <c r="L965" t="s">
        <v>876</v>
      </c>
      <c r="M965" t="s">
        <v>876</v>
      </c>
      <c r="N965" t="s">
        <v>876</v>
      </c>
      <c r="O965" t="s">
        <v>876</v>
      </c>
      <c r="P965" t="s">
        <v>876</v>
      </c>
    </row>
    <row r="966" spans="1:25" x14ac:dyDescent="0.2">
      <c r="A966" s="60" t="s">
        <v>4643</v>
      </c>
      <c r="B966" t="s">
        <v>4644</v>
      </c>
      <c r="C966" t="s">
        <v>4645</v>
      </c>
      <c r="D966" t="s">
        <v>2152</v>
      </c>
      <c r="F966">
        <v>301613</v>
      </c>
      <c r="J966">
        <v>1</v>
      </c>
      <c r="L966" t="s">
        <v>4646</v>
      </c>
      <c r="M966" t="s">
        <v>4647</v>
      </c>
      <c r="N966" t="s">
        <v>876</v>
      </c>
      <c r="O966" t="s">
        <v>671</v>
      </c>
      <c r="P966" t="s">
        <v>2164</v>
      </c>
      <c r="T966">
        <v>13.22688348</v>
      </c>
      <c r="U966">
        <v>15.13548473</v>
      </c>
      <c r="V966">
        <v>56.717622464454273</v>
      </c>
      <c r="W966">
        <v>37.782202826536974</v>
      </c>
      <c r="X966">
        <v>0.3440826762838699</v>
      </c>
      <c r="Y966">
        <v>0.53397947967246273</v>
      </c>
    </row>
    <row r="967" spans="1:25" x14ac:dyDescent="0.2">
      <c r="A967" s="60" t="s">
        <v>4648</v>
      </c>
      <c r="B967" t="s">
        <v>4649</v>
      </c>
      <c r="C967" t="s">
        <v>4650</v>
      </c>
      <c r="D967" t="s">
        <v>1318</v>
      </c>
      <c r="F967">
        <v>301614</v>
      </c>
      <c r="J967">
        <v>1</v>
      </c>
      <c r="L967" t="s">
        <v>4651</v>
      </c>
      <c r="M967" t="s">
        <v>4652</v>
      </c>
      <c r="N967" t="s">
        <v>876</v>
      </c>
      <c r="O967" t="s">
        <v>1032</v>
      </c>
      <c r="P967" t="s">
        <v>1033</v>
      </c>
      <c r="T967">
        <v>46.380660970000001</v>
      </c>
      <c r="U967">
        <v>5.4171882809999996</v>
      </c>
      <c r="V967">
        <v>10000</v>
      </c>
      <c r="W967">
        <v>51.66215490730989</v>
      </c>
      <c r="X967">
        <v>0.23247475303952833</v>
      </c>
      <c r="Y967">
        <v>0.47437888921422955</v>
      </c>
    </row>
    <row r="968" spans="1:25" x14ac:dyDescent="0.2">
      <c r="A968" s="60" t="s">
        <v>4653</v>
      </c>
      <c r="B968" t="s">
        <v>4654</v>
      </c>
      <c r="C968" t="s">
        <v>4655</v>
      </c>
      <c r="D968" t="s">
        <v>1517</v>
      </c>
      <c r="F968">
        <v>301615</v>
      </c>
      <c r="J968">
        <v>1</v>
      </c>
      <c r="L968" t="s">
        <v>876</v>
      </c>
      <c r="M968" t="s">
        <v>876</v>
      </c>
      <c r="N968" t="s">
        <v>876</v>
      </c>
      <c r="O968" t="s">
        <v>876</v>
      </c>
      <c r="P968" t="s">
        <v>876</v>
      </c>
    </row>
    <row r="969" spans="1:25" x14ac:dyDescent="0.2">
      <c r="A969" s="60" t="s">
        <v>4656</v>
      </c>
      <c r="B969" t="s">
        <v>4657</v>
      </c>
      <c r="C969" t="s">
        <v>4658</v>
      </c>
      <c r="D969" t="s">
        <v>866</v>
      </c>
      <c r="F969">
        <v>301616</v>
      </c>
      <c r="J969">
        <v>1</v>
      </c>
      <c r="L969" t="s">
        <v>876</v>
      </c>
      <c r="M969" t="s">
        <v>876</v>
      </c>
      <c r="N969" t="s">
        <v>876</v>
      </c>
      <c r="O969" t="s">
        <v>876</v>
      </c>
      <c r="P969" t="s">
        <v>876</v>
      </c>
    </row>
    <row r="970" spans="1:25" x14ac:dyDescent="0.2">
      <c r="A970" s="60" t="s">
        <v>4659</v>
      </c>
      <c r="B970" t="s">
        <v>4660</v>
      </c>
      <c r="C970" t="s">
        <v>4661</v>
      </c>
      <c r="D970" t="s">
        <v>1375</v>
      </c>
      <c r="F970">
        <v>301617</v>
      </c>
      <c r="J970">
        <v>1</v>
      </c>
      <c r="L970" t="s">
        <v>876</v>
      </c>
      <c r="M970" t="s">
        <v>876</v>
      </c>
      <c r="N970" t="s">
        <v>876</v>
      </c>
      <c r="O970" t="s">
        <v>876</v>
      </c>
      <c r="P970" t="s">
        <v>876</v>
      </c>
    </row>
    <row r="971" spans="1:25" x14ac:dyDescent="0.2">
      <c r="A971" s="60" t="s">
        <v>4662</v>
      </c>
      <c r="B971" t="s">
        <v>4663</v>
      </c>
      <c r="C971" t="s">
        <v>4664</v>
      </c>
      <c r="D971" t="s">
        <v>1514</v>
      </c>
      <c r="F971">
        <v>301618</v>
      </c>
      <c r="J971">
        <v>1</v>
      </c>
      <c r="L971" t="s">
        <v>876</v>
      </c>
      <c r="M971" t="s">
        <v>876</v>
      </c>
      <c r="N971" t="s">
        <v>876</v>
      </c>
      <c r="O971" t="s">
        <v>876</v>
      </c>
      <c r="P971" t="s">
        <v>876</v>
      </c>
    </row>
    <row r="972" spans="1:25" x14ac:dyDescent="0.2">
      <c r="A972" s="60" t="s">
        <v>4665</v>
      </c>
      <c r="B972" t="s">
        <v>4666</v>
      </c>
      <c r="C972" t="s">
        <v>4667</v>
      </c>
      <c r="D972" t="s">
        <v>866</v>
      </c>
      <c r="F972">
        <v>301619</v>
      </c>
      <c r="J972">
        <v>1</v>
      </c>
      <c r="L972" t="s">
        <v>876</v>
      </c>
      <c r="M972" t="s">
        <v>876</v>
      </c>
      <c r="N972" t="s">
        <v>876</v>
      </c>
      <c r="O972" t="s">
        <v>876</v>
      </c>
      <c r="P972" t="s">
        <v>876</v>
      </c>
    </row>
    <row r="973" spans="1:25" x14ac:dyDescent="0.2">
      <c r="A973" s="60" t="s">
        <v>4668</v>
      </c>
      <c r="B973" t="s">
        <v>4669</v>
      </c>
      <c r="C973" t="s">
        <v>4670</v>
      </c>
      <c r="D973" t="s">
        <v>664</v>
      </c>
      <c r="F973">
        <v>301620</v>
      </c>
      <c r="J973">
        <v>1</v>
      </c>
      <c r="L973" t="s">
        <v>4671</v>
      </c>
      <c r="M973" t="s">
        <v>4672</v>
      </c>
      <c r="N973" t="s">
        <v>876</v>
      </c>
      <c r="O973" t="s">
        <v>1032</v>
      </c>
      <c r="P973" t="s">
        <v>1033</v>
      </c>
      <c r="Q973">
        <v>1</v>
      </c>
      <c r="T973">
        <v>1.565326384</v>
      </c>
      <c r="U973">
        <v>7.3470392950000001</v>
      </c>
      <c r="V973">
        <v>10000</v>
      </c>
      <c r="W973">
        <v>46.713562215051631</v>
      </c>
      <c r="X973">
        <v>0.50345769132830298</v>
      </c>
      <c r="Y973">
        <v>0.6281482093332611</v>
      </c>
    </row>
    <row r="974" spans="1:25" x14ac:dyDescent="0.2">
      <c r="A974" s="60" t="s">
        <v>4673</v>
      </c>
      <c r="B974" t="s">
        <v>4674</v>
      </c>
      <c r="C974" t="s">
        <v>4675</v>
      </c>
      <c r="D974" t="s">
        <v>1514</v>
      </c>
      <c r="F974">
        <v>301621</v>
      </c>
      <c r="J974">
        <v>1</v>
      </c>
      <c r="L974" t="s">
        <v>876</v>
      </c>
      <c r="M974" t="s">
        <v>876</v>
      </c>
      <c r="N974" t="s">
        <v>876</v>
      </c>
      <c r="O974" t="s">
        <v>876</v>
      </c>
      <c r="P974" t="s">
        <v>876</v>
      </c>
    </row>
    <row r="975" spans="1:25" x14ac:dyDescent="0.2">
      <c r="A975" s="60" t="s">
        <v>4676</v>
      </c>
      <c r="B975" t="s">
        <v>4677</v>
      </c>
      <c r="C975" t="s">
        <v>4678</v>
      </c>
      <c r="D975" t="s">
        <v>1517</v>
      </c>
      <c r="F975">
        <v>301622</v>
      </c>
      <c r="J975">
        <v>1</v>
      </c>
      <c r="L975" t="s">
        <v>876</v>
      </c>
      <c r="M975" t="s">
        <v>876</v>
      </c>
      <c r="N975" t="s">
        <v>876</v>
      </c>
      <c r="O975" t="s">
        <v>876</v>
      </c>
      <c r="P975" t="s">
        <v>876</v>
      </c>
    </row>
    <row r="976" spans="1:25" x14ac:dyDescent="0.2">
      <c r="A976" s="60" t="s">
        <v>4679</v>
      </c>
      <c r="B976" t="s">
        <v>4680</v>
      </c>
      <c r="C976" t="s">
        <v>4681</v>
      </c>
      <c r="D976" t="s">
        <v>866</v>
      </c>
      <c r="F976">
        <v>301623</v>
      </c>
      <c r="J976">
        <v>1</v>
      </c>
      <c r="L976" t="s">
        <v>876</v>
      </c>
      <c r="M976" t="s">
        <v>876</v>
      </c>
      <c r="N976" t="s">
        <v>876</v>
      </c>
      <c r="O976" t="s">
        <v>876</v>
      </c>
      <c r="P976" t="s">
        <v>876</v>
      </c>
    </row>
    <row r="977" spans="1:25" x14ac:dyDescent="0.2">
      <c r="A977" s="60" t="s">
        <v>4682</v>
      </c>
      <c r="B977" t="s">
        <v>4683</v>
      </c>
      <c r="C977" t="s">
        <v>4684</v>
      </c>
      <c r="D977" t="s">
        <v>2152</v>
      </c>
      <c r="F977">
        <v>301624</v>
      </c>
      <c r="J977">
        <v>1</v>
      </c>
      <c r="L977" t="s">
        <v>4685</v>
      </c>
      <c r="M977" t="s">
        <v>4686</v>
      </c>
      <c r="N977" t="s">
        <v>876</v>
      </c>
      <c r="O977" t="s">
        <v>667</v>
      </c>
      <c r="P977" t="s">
        <v>2028</v>
      </c>
      <c r="T977">
        <v>10000</v>
      </c>
      <c r="U977">
        <v>10000</v>
      </c>
      <c r="V977">
        <v>10000</v>
      </c>
      <c r="W977">
        <v>10000</v>
      </c>
      <c r="X977">
        <v>0.16639092083127016</v>
      </c>
      <c r="Y977">
        <v>0.19995560394555542</v>
      </c>
    </row>
    <row r="978" spans="1:25" x14ac:dyDescent="0.2">
      <c r="A978" s="60" t="s">
        <v>4687</v>
      </c>
      <c r="B978" t="s">
        <v>4688</v>
      </c>
      <c r="C978" t="s">
        <v>4689</v>
      </c>
      <c r="D978" t="s">
        <v>782</v>
      </c>
      <c r="F978">
        <v>301625</v>
      </c>
      <c r="J978">
        <v>1</v>
      </c>
      <c r="L978" t="s">
        <v>876</v>
      </c>
      <c r="M978" t="s">
        <v>876</v>
      </c>
      <c r="N978" t="s">
        <v>876</v>
      </c>
      <c r="O978" t="s">
        <v>876</v>
      </c>
      <c r="P978" t="s">
        <v>876</v>
      </c>
    </row>
    <row r="979" spans="1:25" x14ac:dyDescent="0.2">
      <c r="A979" s="60" t="s">
        <v>4690</v>
      </c>
      <c r="B979" t="s">
        <v>4691</v>
      </c>
      <c r="C979" t="s">
        <v>4692</v>
      </c>
      <c r="D979" t="s">
        <v>1517</v>
      </c>
      <c r="F979">
        <v>301626</v>
      </c>
      <c r="J979">
        <v>1</v>
      </c>
      <c r="L979" t="s">
        <v>876</v>
      </c>
      <c r="M979" t="s">
        <v>876</v>
      </c>
      <c r="N979" t="s">
        <v>876</v>
      </c>
      <c r="O979" t="s">
        <v>876</v>
      </c>
      <c r="P979" t="s">
        <v>876</v>
      </c>
    </row>
    <row r="980" spans="1:25" x14ac:dyDescent="0.2">
      <c r="A980" s="60" t="s">
        <v>4693</v>
      </c>
      <c r="B980" t="s">
        <v>4694</v>
      </c>
      <c r="C980" t="s">
        <v>4695</v>
      </c>
      <c r="D980" t="s">
        <v>1517</v>
      </c>
      <c r="F980">
        <v>301627</v>
      </c>
      <c r="J980">
        <v>1</v>
      </c>
      <c r="L980" t="s">
        <v>876</v>
      </c>
      <c r="M980" t="s">
        <v>876</v>
      </c>
      <c r="N980" t="s">
        <v>876</v>
      </c>
      <c r="O980" t="s">
        <v>876</v>
      </c>
      <c r="P980" t="s">
        <v>876</v>
      </c>
    </row>
    <row r="981" spans="1:25" x14ac:dyDescent="0.2">
      <c r="A981" s="60" t="s">
        <v>4696</v>
      </c>
      <c r="B981" t="s">
        <v>4697</v>
      </c>
      <c r="C981" t="s">
        <v>4698</v>
      </c>
      <c r="D981" t="s">
        <v>1388</v>
      </c>
      <c r="F981">
        <v>301628</v>
      </c>
      <c r="J981">
        <v>1</v>
      </c>
      <c r="L981" t="s">
        <v>4699</v>
      </c>
      <c r="M981" t="s">
        <v>4700</v>
      </c>
      <c r="N981" t="s">
        <v>876</v>
      </c>
      <c r="O981" t="s">
        <v>1032</v>
      </c>
      <c r="P981" t="s">
        <v>1033</v>
      </c>
      <c r="T981">
        <v>773.85887209999999</v>
      </c>
      <c r="U981">
        <v>10000</v>
      </c>
      <c r="V981">
        <v>10000</v>
      </c>
      <c r="W981">
        <v>10000</v>
      </c>
      <c r="X981">
        <v>0.14583332169270538</v>
      </c>
      <c r="Y981">
        <v>0.23958333033851459</v>
      </c>
    </row>
    <row r="982" spans="1:25" x14ac:dyDescent="0.2">
      <c r="A982" s="60" t="s">
        <v>4701</v>
      </c>
      <c r="B982" t="s">
        <v>4702</v>
      </c>
      <c r="C982" t="s">
        <v>4703</v>
      </c>
      <c r="D982" t="s">
        <v>1307</v>
      </c>
      <c r="F982">
        <v>301629</v>
      </c>
      <c r="J982">
        <v>1</v>
      </c>
      <c r="L982" t="s">
        <v>4704</v>
      </c>
      <c r="M982" t="s">
        <v>4705</v>
      </c>
      <c r="N982" t="s">
        <v>876</v>
      </c>
      <c r="O982" t="s">
        <v>1032</v>
      </c>
      <c r="P982" t="s">
        <v>1033</v>
      </c>
      <c r="T982">
        <v>64.439847400000005</v>
      </c>
      <c r="U982">
        <v>63.975385979999999</v>
      </c>
      <c r="V982">
        <v>72.199953916319245</v>
      </c>
      <c r="W982">
        <v>71.691289870628481</v>
      </c>
      <c r="X982">
        <v>8.1322188986231447E-2</v>
      </c>
      <c r="Y982">
        <v>0.13807881621051288</v>
      </c>
    </row>
    <row r="983" spans="1:25" x14ac:dyDescent="0.2">
      <c r="A983" s="60" t="s">
        <v>4706</v>
      </c>
      <c r="B983" t="s">
        <v>4707</v>
      </c>
      <c r="C983" t="s">
        <v>4708</v>
      </c>
      <c r="D983" t="s">
        <v>866</v>
      </c>
      <c r="F983">
        <v>301630</v>
      </c>
      <c r="J983">
        <v>1</v>
      </c>
      <c r="L983" t="s">
        <v>876</v>
      </c>
      <c r="M983" t="s">
        <v>876</v>
      </c>
      <c r="N983" t="s">
        <v>876</v>
      </c>
      <c r="O983" t="s">
        <v>876</v>
      </c>
      <c r="P983" t="s">
        <v>876</v>
      </c>
    </row>
    <row r="984" spans="1:25" x14ac:dyDescent="0.2">
      <c r="A984" s="60" t="s">
        <v>4709</v>
      </c>
      <c r="B984" t="s">
        <v>4710</v>
      </c>
      <c r="C984" t="s">
        <v>4711</v>
      </c>
      <c r="D984" t="s">
        <v>1318</v>
      </c>
      <c r="F984">
        <v>301631</v>
      </c>
      <c r="J984">
        <v>1</v>
      </c>
      <c r="L984" t="s">
        <v>4712</v>
      </c>
      <c r="M984" t="s">
        <v>4713</v>
      </c>
      <c r="N984" t="s">
        <v>876</v>
      </c>
      <c r="O984" t="s">
        <v>1032</v>
      </c>
      <c r="P984" t="s">
        <v>1033</v>
      </c>
      <c r="T984">
        <v>5.8134434749999997</v>
      </c>
      <c r="U984">
        <v>5.5567982499999999</v>
      </c>
      <c r="V984">
        <v>7.483524648065929</v>
      </c>
      <c r="W984">
        <v>6.2865665886306088</v>
      </c>
      <c r="X984">
        <v>0.85693218877614385</v>
      </c>
      <c r="Y984">
        <v>0.88760560066052829</v>
      </c>
    </row>
    <row r="985" spans="1:25" x14ac:dyDescent="0.2">
      <c r="A985" s="60" t="s">
        <v>4714</v>
      </c>
      <c r="B985" t="s">
        <v>4715</v>
      </c>
      <c r="C985" t="s">
        <v>4716</v>
      </c>
      <c r="D985" t="s">
        <v>1514</v>
      </c>
      <c r="F985">
        <v>301632</v>
      </c>
      <c r="J985">
        <v>1</v>
      </c>
      <c r="L985" t="s">
        <v>876</v>
      </c>
      <c r="M985" t="s">
        <v>876</v>
      </c>
      <c r="N985" t="s">
        <v>876</v>
      </c>
      <c r="O985" t="s">
        <v>876</v>
      </c>
      <c r="P985" t="s">
        <v>876</v>
      </c>
    </row>
    <row r="986" spans="1:25" x14ac:dyDescent="0.2">
      <c r="A986" s="60" t="s">
        <v>4717</v>
      </c>
      <c r="B986" t="s">
        <v>4718</v>
      </c>
      <c r="C986" t="s">
        <v>4719</v>
      </c>
      <c r="D986" t="s">
        <v>1297</v>
      </c>
      <c r="F986">
        <v>301633</v>
      </c>
      <c r="J986">
        <v>1</v>
      </c>
      <c r="L986" t="s">
        <v>4720</v>
      </c>
      <c r="M986" t="s">
        <v>4721</v>
      </c>
      <c r="N986" t="s">
        <v>876</v>
      </c>
      <c r="O986" t="s">
        <v>1032</v>
      </c>
      <c r="P986" t="s">
        <v>1033</v>
      </c>
      <c r="T986">
        <v>1.3917175E-2</v>
      </c>
      <c r="U986">
        <v>0.70040483600000003</v>
      </c>
      <c r="V986">
        <v>240.52993002670317</v>
      </c>
      <c r="W986">
        <v>1.7841529464127537</v>
      </c>
      <c r="X986">
        <v>0.44896746740874766</v>
      </c>
      <c r="Y986">
        <v>0.97000101119614823</v>
      </c>
    </row>
    <row r="987" spans="1:25" x14ac:dyDescent="0.2">
      <c r="A987" s="60" t="s">
        <v>4722</v>
      </c>
      <c r="B987" t="s">
        <v>4723</v>
      </c>
      <c r="C987" t="s">
        <v>4724</v>
      </c>
      <c r="D987" t="s">
        <v>1517</v>
      </c>
      <c r="F987">
        <v>301634</v>
      </c>
      <c r="J987">
        <v>1</v>
      </c>
      <c r="L987" t="s">
        <v>876</v>
      </c>
      <c r="M987" t="s">
        <v>876</v>
      </c>
      <c r="N987" t="s">
        <v>876</v>
      </c>
      <c r="O987" t="s">
        <v>876</v>
      </c>
      <c r="P987" t="s">
        <v>876</v>
      </c>
    </row>
    <row r="988" spans="1:25" x14ac:dyDescent="0.2">
      <c r="A988" s="60" t="s">
        <v>4725</v>
      </c>
      <c r="B988" t="s">
        <v>4726</v>
      </c>
      <c r="C988" t="s">
        <v>4727</v>
      </c>
      <c r="D988" t="s">
        <v>1517</v>
      </c>
      <c r="F988">
        <v>301635</v>
      </c>
      <c r="J988">
        <v>1</v>
      </c>
      <c r="L988" t="s">
        <v>876</v>
      </c>
      <c r="M988" t="s">
        <v>876</v>
      </c>
      <c r="N988" t="s">
        <v>876</v>
      </c>
      <c r="O988" t="s">
        <v>876</v>
      </c>
      <c r="P988" t="s">
        <v>876</v>
      </c>
    </row>
    <row r="989" spans="1:25" x14ac:dyDescent="0.2">
      <c r="A989" s="60" t="s">
        <v>4728</v>
      </c>
      <c r="B989" t="s">
        <v>4729</v>
      </c>
      <c r="C989" t="s">
        <v>4730</v>
      </c>
      <c r="D989" t="s">
        <v>1375</v>
      </c>
      <c r="F989">
        <v>301636</v>
      </c>
      <c r="J989">
        <v>1</v>
      </c>
      <c r="L989" t="s">
        <v>876</v>
      </c>
      <c r="M989" t="s">
        <v>876</v>
      </c>
      <c r="N989" t="s">
        <v>876</v>
      </c>
      <c r="O989" t="s">
        <v>876</v>
      </c>
      <c r="P989" t="s">
        <v>876</v>
      </c>
    </row>
    <row r="990" spans="1:25" x14ac:dyDescent="0.2">
      <c r="A990" s="60" t="s">
        <v>4731</v>
      </c>
      <c r="B990" t="s">
        <v>4732</v>
      </c>
      <c r="C990" t="s">
        <v>4733</v>
      </c>
      <c r="D990" t="s">
        <v>1375</v>
      </c>
      <c r="F990">
        <v>301637</v>
      </c>
      <c r="J990">
        <v>1</v>
      </c>
      <c r="L990" t="s">
        <v>876</v>
      </c>
      <c r="M990" t="s">
        <v>876</v>
      </c>
      <c r="N990" t="s">
        <v>876</v>
      </c>
      <c r="O990" t="s">
        <v>876</v>
      </c>
      <c r="P990" t="s">
        <v>876</v>
      </c>
    </row>
    <row r="991" spans="1:25" x14ac:dyDescent="0.2">
      <c r="A991" s="60" t="s">
        <v>4734</v>
      </c>
      <c r="B991" t="s">
        <v>4735</v>
      </c>
      <c r="C991" t="s">
        <v>4736</v>
      </c>
      <c r="D991" t="s">
        <v>1375</v>
      </c>
      <c r="F991">
        <v>301638</v>
      </c>
      <c r="J991">
        <v>1</v>
      </c>
      <c r="L991" t="s">
        <v>876</v>
      </c>
      <c r="M991" t="s">
        <v>876</v>
      </c>
      <c r="N991" t="s">
        <v>876</v>
      </c>
      <c r="O991" t="s">
        <v>876</v>
      </c>
      <c r="P991" t="s">
        <v>876</v>
      </c>
    </row>
    <row r="992" spans="1:25" x14ac:dyDescent="0.2">
      <c r="A992" s="60" t="s">
        <v>4737</v>
      </c>
      <c r="B992" t="s">
        <v>4738</v>
      </c>
      <c r="C992" t="s">
        <v>4739</v>
      </c>
      <c r="D992" t="s">
        <v>4740</v>
      </c>
      <c r="F992">
        <v>301639</v>
      </c>
      <c r="J992">
        <v>1</v>
      </c>
      <c r="L992" t="s">
        <v>876</v>
      </c>
      <c r="M992" t="s">
        <v>876</v>
      </c>
      <c r="N992" t="s">
        <v>876</v>
      </c>
      <c r="O992" t="s">
        <v>876</v>
      </c>
      <c r="P992" t="s">
        <v>876</v>
      </c>
    </row>
    <row r="993" spans="1:25" x14ac:dyDescent="0.2">
      <c r="A993" s="60" t="s">
        <v>4741</v>
      </c>
      <c r="B993" t="s">
        <v>4742</v>
      </c>
      <c r="C993" t="s">
        <v>4743</v>
      </c>
      <c r="D993" t="s">
        <v>1375</v>
      </c>
      <c r="F993">
        <v>301640</v>
      </c>
      <c r="J993">
        <v>1</v>
      </c>
      <c r="L993" t="s">
        <v>876</v>
      </c>
      <c r="M993" t="s">
        <v>876</v>
      </c>
      <c r="N993" t="s">
        <v>876</v>
      </c>
      <c r="O993" t="s">
        <v>876</v>
      </c>
      <c r="P993" t="s">
        <v>876</v>
      </c>
    </row>
    <row r="994" spans="1:25" x14ac:dyDescent="0.2">
      <c r="A994" s="60" t="s">
        <v>4744</v>
      </c>
      <c r="B994" t="s">
        <v>4745</v>
      </c>
      <c r="C994" t="s">
        <v>4746</v>
      </c>
      <c r="D994" t="s">
        <v>1517</v>
      </c>
      <c r="F994">
        <v>301641</v>
      </c>
      <c r="J994">
        <v>1</v>
      </c>
      <c r="L994" t="s">
        <v>876</v>
      </c>
      <c r="M994" t="s">
        <v>876</v>
      </c>
      <c r="N994" t="s">
        <v>876</v>
      </c>
      <c r="O994" t="s">
        <v>876</v>
      </c>
      <c r="P994" t="s">
        <v>876</v>
      </c>
    </row>
    <row r="995" spans="1:25" x14ac:dyDescent="0.2">
      <c r="A995" s="60" t="s">
        <v>4747</v>
      </c>
      <c r="B995" t="s">
        <v>4748</v>
      </c>
      <c r="C995" t="s">
        <v>4749</v>
      </c>
      <c r="D995" t="s">
        <v>1297</v>
      </c>
      <c r="F995">
        <v>301642</v>
      </c>
      <c r="J995">
        <v>1</v>
      </c>
      <c r="L995" t="s">
        <v>4750</v>
      </c>
      <c r="M995" t="s">
        <v>4751</v>
      </c>
      <c r="N995" t="s">
        <v>876</v>
      </c>
      <c r="O995" t="s">
        <v>1032</v>
      </c>
      <c r="P995" t="s">
        <v>1033</v>
      </c>
      <c r="T995">
        <v>5.3423133370000002</v>
      </c>
      <c r="U995">
        <v>4.0149042030000004</v>
      </c>
      <c r="V995">
        <v>10000</v>
      </c>
      <c r="W995">
        <v>6.8677090237844514</v>
      </c>
      <c r="X995">
        <v>0.33423011281605797</v>
      </c>
      <c r="Y995">
        <v>0.37321852601094996</v>
      </c>
    </row>
    <row r="996" spans="1:25" x14ac:dyDescent="0.2">
      <c r="A996" s="60" t="s">
        <v>4752</v>
      </c>
      <c r="B996" t="s">
        <v>4753</v>
      </c>
      <c r="C996" t="s">
        <v>4754</v>
      </c>
      <c r="D996" t="s">
        <v>1307</v>
      </c>
      <c r="F996">
        <v>301643</v>
      </c>
      <c r="J996">
        <v>1</v>
      </c>
      <c r="L996" t="s">
        <v>4755</v>
      </c>
      <c r="M996" t="s">
        <v>908</v>
      </c>
      <c r="N996" t="s">
        <v>876</v>
      </c>
      <c r="O996" t="s">
        <v>1032</v>
      </c>
      <c r="P996" t="s">
        <v>1033</v>
      </c>
      <c r="T996">
        <v>330.77057989999997</v>
      </c>
      <c r="U996">
        <v>2.060862561</v>
      </c>
      <c r="V996">
        <v>10000</v>
      </c>
      <c r="W996">
        <v>10000</v>
      </c>
      <c r="X996">
        <v>0.18469427830164317</v>
      </c>
      <c r="Y996">
        <v>0.25255982278781536</v>
      </c>
    </row>
    <row r="997" spans="1:25" x14ac:dyDescent="0.2">
      <c r="A997" s="60" t="s">
        <v>4756</v>
      </c>
      <c r="B997" t="s">
        <v>4757</v>
      </c>
      <c r="C997" t="s">
        <v>4758</v>
      </c>
      <c r="D997" t="s">
        <v>3598</v>
      </c>
      <c r="F997">
        <v>301644</v>
      </c>
      <c r="J997">
        <v>1</v>
      </c>
      <c r="L997" t="s">
        <v>876</v>
      </c>
      <c r="M997" t="s">
        <v>876</v>
      </c>
      <c r="N997" t="s">
        <v>876</v>
      </c>
      <c r="O997" t="s">
        <v>876</v>
      </c>
      <c r="P997" t="s">
        <v>876</v>
      </c>
    </row>
    <row r="998" spans="1:25" x14ac:dyDescent="0.2">
      <c r="A998" s="60" t="s">
        <v>4759</v>
      </c>
      <c r="B998" t="s">
        <v>4760</v>
      </c>
      <c r="C998" t="s">
        <v>4761</v>
      </c>
      <c r="D998" t="s">
        <v>1517</v>
      </c>
      <c r="F998">
        <v>301645</v>
      </c>
      <c r="J998">
        <v>1</v>
      </c>
      <c r="L998" t="s">
        <v>876</v>
      </c>
      <c r="M998" t="s">
        <v>876</v>
      </c>
      <c r="N998" t="s">
        <v>876</v>
      </c>
      <c r="O998" t="s">
        <v>876</v>
      </c>
      <c r="P998" t="s">
        <v>876</v>
      </c>
    </row>
    <row r="999" spans="1:25" x14ac:dyDescent="0.2">
      <c r="A999" s="60" t="s">
        <v>4762</v>
      </c>
      <c r="B999" t="s">
        <v>4763</v>
      </c>
      <c r="C999" t="s">
        <v>4764</v>
      </c>
      <c r="D999" t="s">
        <v>1514</v>
      </c>
      <c r="F999">
        <v>301646</v>
      </c>
      <c r="J999">
        <v>1</v>
      </c>
      <c r="L999" t="s">
        <v>876</v>
      </c>
      <c r="M999" t="s">
        <v>876</v>
      </c>
      <c r="N999" t="s">
        <v>876</v>
      </c>
      <c r="O999" t="s">
        <v>876</v>
      </c>
      <c r="P999" t="s">
        <v>876</v>
      </c>
    </row>
    <row r="1000" spans="1:25" x14ac:dyDescent="0.2">
      <c r="A1000" s="60" t="s">
        <v>4765</v>
      </c>
      <c r="B1000" t="s">
        <v>4766</v>
      </c>
      <c r="C1000" t="s">
        <v>4767</v>
      </c>
      <c r="D1000" t="s">
        <v>1307</v>
      </c>
      <c r="F1000">
        <v>301647</v>
      </c>
      <c r="J1000">
        <v>1</v>
      </c>
      <c r="L1000" t="s">
        <v>4768</v>
      </c>
      <c r="M1000" t="s">
        <v>4769</v>
      </c>
      <c r="N1000" t="s">
        <v>876</v>
      </c>
      <c r="O1000" t="s">
        <v>1032</v>
      </c>
      <c r="P1000" t="s">
        <v>1033</v>
      </c>
      <c r="T1000">
        <v>100.66764089999999</v>
      </c>
      <c r="U1000">
        <v>10000</v>
      </c>
      <c r="V1000">
        <v>111.26035337531863</v>
      </c>
      <c r="W1000">
        <v>10000</v>
      </c>
      <c r="X1000">
        <v>0.19371726243204107</v>
      </c>
      <c r="Y1000">
        <v>0.24402063964660814</v>
      </c>
    </row>
    <row r="1001" spans="1:25" x14ac:dyDescent="0.2">
      <c r="A1001" s="60" t="s">
        <v>4770</v>
      </c>
      <c r="B1001" t="s">
        <v>4771</v>
      </c>
      <c r="C1001" t="s">
        <v>4772</v>
      </c>
      <c r="D1001" t="s">
        <v>1517</v>
      </c>
      <c r="F1001">
        <v>301649</v>
      </c>
      <c r="J1001">
        <v>1</v>
      </c>
      <c r="L1001" t="s">
        <v>876</v>
      </c>
      <c r="M1001" t="s">
        <v>876</v>
      </c>
      <c r="N1001" t="s">
        <v>876</v>
      </c>
      <c r="O1001" t="s">
        <v>876</v>
      </c>
      <c r="P1001" t="s">
        <v>876</v>
      </c>
    </row>
    <row r="1002" spans="1:25" x14ac:dyDescent="0.2">
      <c r="A1002" s="60" t="s">
        <v>4773</v>
      </c>
      <c r="B1002" t="s">
        <v>4774</v>
      </c>
      <c r="C1002" t="s">
        <v>4775</v>
      </c>
      <c r="D1002" t="s">
        <v>1375</v>
      </c>
      <c r="F1002">
        <v>301650</v>
      </c>
      <c r="J1002">
        <v>1</v>
      </c>
      <c r="L1002" t="s">
        <v>876</v>
      </c>
      <c r="M1002" t="s">
        <v>876</v>
      </c>
      <c r="N1002" t="s">
        <v>876</v>
      </c>
      <c r="O1002" t="s">
        <v>876</v>
      </c>
      <c r="P1002" t="s">
        <v>876</v>
      </c>
    </row>
    <row r="1003" spans="1:25" x14ac:dyDescent="0.2">
      <c r="A1003" s="60" t="s">
        <v>4776</v>
      </c>
      <c r="B1003" t="s">
        <v>4777</v>
      </c>
      <c r="C1003" t="s">
        <v>4778</v>
      </c>
      <c r="D1003" t="s">
        <v>1517</v>
      </c>
      <c r="F1003">
        <v>301651</v>
      </c>
      <c r="J1003">
        <v>1</v>
      </c>
      <c r="L1003" t="s">
        <v>876</v>
      </c>
      <c r="M1003" t="s">
        <v>876</v>
      </c>
      <c r="N1003" t="s">
        <v>876</v>
      </c>
      <c r="O1003" t="s">
        <v>876</v>
      </c>
      <c r="P1003" t="s">
        <v>876</v>
      </c>
    </row>
    <row r="1004" spans="1:25" x14ac:dyDescent="0.2">
      <c r="A1004" s="60" t="s">
        <v>4779</v>
      </c>
      <c r="B1004" t="s">
        <v>4780</v>
      </c>
      <c r="C1004" t="s">
        <v>4781</v>
      </c>
      <c r="D1004" t="s">
        <v>1375</v>
      </c>
      <c r="F1004">
        <v>301652</v>
      </c>
      <c r="J1004">
        <v>1</v>
      </c>
      <c r="L1004" t="s">
        <v>876</v>
      </c>
      <c r="M1004" t="s">
        <v>876</v>
      </c>
      <c r="N1004" t="s">
        <v>876</v>
      </c>
      <c r="O1004" t="s">
        <v>876</v>
      </c>
      <c r="P1004" t="s">
        <v>876</v>
      </c>
    </row>
    <row r="1005" spans="1:25" x14ac:dyDescent="0.2">
      <c r="A1005" s="60" t="s">
        <v>4782</v>
      </c>
      <c r="B1005" t="s">
        <v>4783</v>
      </c>
      <c r="C1005" t="s">
        <v>4784</v>
      </c>
      <c r="D1005" t="s">
        <v>2152</v>
      </c>
      <c r="F1005">
        <v>301653</v>
      </c>
      <c r="J1005">
        <v>1</v>
      </c>
      <c r="L1005" t="s">
        <v>4785</v>
      </c>
      <c r="M1005" t="s">
        <v>4786</v>
      </c>
      <c r="N1005" t="s">
        <v>876</v>
      </c>
      <c r="O1005" t="s">
        <v>671</v>
      </c>
      <c r="P1005" t="s">
        <v>2164</v>
      </c>
      <c r="T1005">
        <v>7.4682232649999998</v>
      </c>
      <c r="U1005">
        <v>5.7590423880000001</v>
      </c>
      <c r="V1005">
        <v>17.023749949462271</v>
      </c>
      <c r="W1005">
        <v>10.165542379867428</v>
      </c>
      <c r="X1005">
        <v>0.34452070077595714</v>
      </c>
      <c r="Y1005">
        <v>0.59234469355806652</v>
      </c>
    </row>
    <row r="1006" spans="1:25" x14ac:dyDescent="0.2">
      <c r="A1006" s="60" t="s">
        <v>4787</v>
      </c>
      <c r="B1006" t="s">
        <v>4788</v>
      </c>
      <c r="C1006" t="s">
        <v>4789</v>
      </c>
      <c r="D1006" t="s">
        <v>1375</v>
      </c>
      <c r="F1006">
        <v>301654</v>
      </c>
      <c r="J1006">
        <v>1</v>
      </c>
      <c r="L1006" t="s">
        <v>876</v>
      </c>
      <c r="M1006" t="s">
        <v>876</v>
      </c>
      <c r="N1006" t="s">
        <v>876</v>
      </c>
      <c r="O1006" t="s">
        <v>876</v>
      </c>
      <c r="P1006" t="s">
        <v>876</v>
      </c>
    </row>
    <row r="1007" spans="1:25" x14ac:dyDescent="0.2">
      <c r="A1007" s="60" t="s">
        <v>4790</v>
      </c>
      <c r="B1007" t="s">
        <v>4791</v>
      </c>
      <c r="C1007" t="s">
        <v>4792</v>
      </c>
      <c r="D1007" t="s">
        <v>866</v>
      </c>
      <c r="F1007">
        <v>301655</v>
      </c>
      <c r="J1007">
        <v>1</v>
      </c>
      <c r="L1007" t="s">
        <v>876</v>
      </c>
      <c r="M1007" t="s">
        <v>876</v>
      </c>
      <c r="N1007" t="s">
        <v>876</v>
      </c>
      <c r="O1007" t="s">
        <v>876</v>
      </c>
      <c r="P1007" t="s">
        <v>876</v>
      </c>
    </row>
    <row r="1008" spans="1:25" x14ac:dyDescent="0.2">
      <c r="A1008" s="60" t="s">
        <v>4793</v>
      </c>
      <c r="B1008" t="s">
        <v>4794</v>
      </c>
      <c r="C1008" t="s">
        <v>4795</v>
      </c>
      <c r="D1008" t="s">
        <v>1307</v>
      </c>
      <c r="F1008">
        <v>301656</v>
      </c>
      <c r="J1008">
        <v>1</v>
      </c>
      <c r="L1008" t="s">
        <v>4796</v>
      </c>
      <c r="M1008" t="s">
        <v>4797</v>
      </c>
      <c r="N1008" t="s">
        <v>876</v>
      </c>
      <c r="O1008" t="s">
        <v>1032</v>
      </c>
      <c r="P1008" t="s">
        <v>1033</v>
      </c>
      <c r="T1008">
        <v>10000</v>
      </c>
      <c r="U1008">
        <v>10000</v>
      </c>
      <c r="V1008">
        <v>10000</v>
      </c>
      <c r="W1008">
        <v>10000</v>
      </c>
      <c r="X1008">
        <v>4.965519483365835E-2</v>
      </c>
      <c r="Y1008">
        <v>0.10416665945256953</v>
      </c>
    </row>
    <row r="1009" spans="1:25" x14ac:dyDescent="0.2">
      <c r="A1009" s="60" t="s">
        <v>4798</v>
      </c>
      <c r="B1009" t="s">
        <v>4799</v>
      </c>
      <c r="C1009" t="s">
        <v>4800</v>
      </c>
      <c r="D1009" t="s">
        <v>2152</v>
      </c>
      <c r="F1009">
        <v>301657</v>
      </c>
      <c r="J1009">
        <v>1</v>
      </c>
      <c r="L1009" t="s">
        <v>4801</v>
      </c>
      <c r="M1009" t="s">
        <v>4802</v>
      </c>
      <c r="N1009" t="s">
        <v>876</v>
      </c>
      <c r="O1009" t="s">
        <v>671</v>
      </c>
      <c r="P1009" t="s">
        <v>2164</v>
      </c>
      <c r="T1009">
        <v>19.300302720000001</v>
      </c>
      <c r="U1009">
        <v>13.73069008</v>
      </c>
      <c r="V1009">
        <v>28.910929028962808</v>
      </c>
      <c r="W1009">
        <v>26.065325786799153</v>
      </c>
      <c r="X1009">
        <v>8.9532910831059589E-2</v>
      </c>
      <c r="Y1009">
        <v>0.20570737192706495</v>
      </c>
    </row>
    <row r="1010" spans="1:25" x14ac:dyDescent="0.2">
      <c r="A1010" s="60" t="s">
        <v>4803</v>
      </c>
      <c r="B1010" t="s">
        <v>4804</v>
      </c>
      <c r="C1010" t="s">
        <v>4805</v>
      </c>
      <c r="D1010" t="s">
        <v>1297</v>
      </c>
      <c r="F1010">
        <v>301658</v>
      </c>
      <c r="J1010">
        <v>1</v>
      </c>
      <c r="L1010" t="s">
        <v>4806</v>
      </c>
      <c r="M1010" t="s">
        <v>4807</v>
      </c>
      <c r="N1010" t="s">
        <v>876</v>
      </c>
      <c r="O1010" t="s">
        <v>1032</v>
      </c>
      <c r="P1010" t="s">
        <v>1033</v>
      </c>
      <c r="T1010">
        <v>10000</v>
      </c>
      <c r="U1010">
        <v>10000</v>
      </c>
      <c r="V1010">
        <v>10000</v>
      </c>
      <c r="W1010">
        <v>10000</v>
      </c>
      <c r="X1010">
        <v>9.3129029400975713E-2</v>
      </c>
      <c r="Y1010">
        <v>0.1312501726123381</v>
      </c>
    </row>
    <row r="1011" spans="1:25" x14ac:dyDescent="0.2">
      <c r="A1011" s="60" t="s">
        <v>4808</v>
      </c>
      <c r="B1011" t="s">
        <v>4809</v>
      </c>
      <c r="C1011" t="s">
        <v>4810</v>
      </c>
      <c r="D1011" t="s">
        <v>664</v>
      </c>
      <c r="F1011">
        <v>301659</v>
      </c>
      <c r="J1011">
        <v>1</v>
      </c>
      <c r="L1011" t="s">
        <v>876</v>
      </c>
      <c r="M1011" t="s">
        <v>876</v>
      </c>
      <c r="N1011" t="s">
        <v>876</v>
      </c>
      <c r="O1011" t="s">
        <v>876</v>
      </c>
      <c r="P1011" t="s">
        <v>876</v>
      </c>
    </row>
    <row r="1012" spans="1:25" x14ac:dyDescent="0.2">
      <c r="A1012" s="60" t="s">
        <v>4811</v>
      </c>
      <c r="B1012" t="s">
        <v>4812</v>
      </c>
      <c r="C1012" t="s">
        <v>4813</v>
      </c>
      <c r="D1012" t="s">
        <v>866</v>
      </c>
      <c r="F1012">
        <v>301660</v>
      </c>
      <c r="J1012">
        <v>1</v>
      </c>
      <c r="L1012" t="s">
        <v>876</v>
      </c>
      <c r="M1012" t="s">
        <v>876</v>
      </c>
      <c r="N1012" t="s">
        <v>876</v>
      </c>
      <c r="O1012" t="s">
        <v>876</v>
      </c>
      <c r="P1012" t="s">
        <v>876</v>
      </c>
    </row>
    <row r="1013" spans="1:25" x14ac:dyDescent="0.2">
      <c r="A1013" s="60" t="s">
        <v>4814</v>
      </c>
      <c r="B1013" t="s">
        <v>4815</v>
      </c>
      <c r="C1013" t="s">
        <v>4816</v>
      </c>
      <c r="D1013" t="s">
        <v>2194</v>
      </c>
      <c r="F1013">
        <v>301661</v>
      </c>
      <c r="J1013">
        <v>1</v>
      </c>
      <c r="L1013" t="s">
        <v>876</v>
      </c>
      <c r="M1013" t="s">
        <v>876</v>
      </c>
      <c r="N1013" t="s">
        <v>876</v>
      </c>
      <c r="O1013" t="s">
        <v>876</v>
      </c>
      <c r="P1013" t="s">
        <v>876</v>
      </c>
    </row>
    <row r="1014" spans="1:25" x14ac:dyDescent="0.2">
      <c r="A1014" s="60" t="s">
        <v>4817</v>
      </c>
      <c r="B1014" t="s">
        <v>4818</v>
      </c>
      <c r="C1014" t="s">
        <v>4819</v>
      </c>
      <c r="D1014" t="s">
        <v>1307</v>
      </c>
      <c r="F1014">
        <v>301662</v>
      </c>
      <c r="J1014">
        <v>1</v>
      </c>
      <c r="L1014" t="s">
        <v>4820</v>
      </c>
      <c r="M1014" t="s">
        <v>4821</v>
      </c>
      <c r="N1014" t="s">
        <v>876</v>
      </c>
      <c r="O1014" t="s">
        <v>1032</v>
      </c>
      <c r="P1014" t="s">
        <v>1033</v>
      </c>
      <c r="T1014">
        <v>5.155759282</v>
      </c>
      <c r="U1014">
        <v>51.059500739999997</v>
      </c>
      <c r="V1014">
        <v>6.2195949311537477</v>
      </c>
      <c r="W1014">
        <v>85.065185370128319</v>
      </c>
      <c r="X1014">
        <v>9.2252574135005788E-2</v>
      </c>
      <c r="Y1014">
        <v>0.13785503538587743</v>
      </c>
    </row>
    <row r="1015" spans="1:25" x14ac:dyDescent="0.2">
      <c r="A1015" s="60" t="s">
        <v>4822</v>
      </c>
      <c r="B1015" t="s">
        <v>4823</v>
      </c>
      <c r="C1015" t="s">
        <v>4824</v>
      </c>
      <c r="D1015" t="s">
        <v>1517</v>
      </c>
      <c r="F1015">
        <v>301663</v>
      </c>
      <c r="J1015">
        <v>1</v>
      </c>
      <c r="L1015" t="s">
        <v>876</v>
      </c>
      <c r="M1015" t="s">
        <v>876</v>
      </c>
      <c r="N1015" t="s">
        <v>876</v>
      </c>
      <c r="O1015" t="s">
        <v>876</v>
      </c>
      <c r="P1015" t="s">
        <v>876</v>
      </c>
    </row>
    <row r="1016" spans="1:25" x14ac:dyDescent="0.2">
      <c r="A1016" s="60" t="s">
        <v>4825</v>
      </c>
      <c r="B1016" t="s">
        <v>4826</v>
      </c>
      <c r="C1016" t="s">
        <v>4827</v>
      </c>
      <c r="D1016" t="s">
        <v>2194</v>
      </c>
      <c r="F1016">
        <v>301664</v>
      </c>
      <c r="J1016">
        <v>1</v>
      </c>
      <c r="L1016" t="s">
        <v>876</v>
      </c>
      <c r="M1016" t="s">
        <v>876</v>
      </c>
      <c r="N1016" t="s">
        <v>876</v>
      </c>
      <c r="O1016" t="s">
        <v>876</v>
      </c>
      <c r="P1016" t="s">
        <v>876</v>
      </c>
    </row>
    <row r="1017" spans="1:25" x14ac:dyDescent="0.2">
      <c r="A1017" s="60" t="s">
        <v>4828</v>
      </c>
      <c r="B1017" t="s">
        <v>4829</v>
      </c>
      <c r="C1017" t="s">
        <v>4830</v>
      </c>
      <c r="D1017" t="s">
        <v>1318</v>
      </c>
      <c r="F1017">
        <v>301665</v>
      </c>
      <c r="J1017">
        <v>1</v>
      </c>
      <c r="L1017" t="s">
        <v>4831</v>
      </c>
      <c r="M1017" t="s">
        <v>4832</v>
      </c>
      <c r="N1017" t="s">
        <v>876</v>
      </c>
      <c r="O1017" t="s">
        <v>1032</v>
      </c>
      <c r="P1017" t="s">
        <v>1033</v>
      </c>
      <c r="T1017">
        <v>5.3882183890000004</v>
      </c>
      <c r="U1017">
        <v>1.252865353</v>
      </c>
      <c r="V1017">
        <v>6.1074361159928898</v>
      </c>
      <c r="W1017">
        <v>1.9753779125519821</v>
      </c>
      <c r="X1017">
        <v>0.91333508462289137</v>
      </c>
      <c r="Y1017">
        <v>0.97736326525666151</v>
      </c>
    </row>
    <row r="1018" spans="1:25" x14ac:dyDescent="0.2">
      <c r="A1018" s="60" t="s">
        <v>4833</v>
      </c>
      <c r="B1018" t="s">
        <v>4834</v>
      </c>
      <c r="C1018" t="s">
        <v>4835</v>
      </c>
      <c r="D1018" t="s">
        <v>1318</v>
      </c>
      <c r="F1018">
        <v>301666</v>
      </c>
      <c r="J1018">
        <v>1</v>
      </c>
      <c r="L1018" t="s">
        <v>4836</v>
      </c>
      <c r="M1018" t="s">
        <v>1038</v>
      </c>
      <c r="N1018" t="s">
        <v>876</v>
      </c>
      <c r="O1018" t="s">
        <v>1032</v>
      </c>
      <c r="P1018" t="s">
        <v>1033</v>
      </c>
      <c r="T1018">
        <v>0.16817047700000001</v>
      </c>
      <c r="U1018">
        <v>3.7666722E-2</v>
      </c>
      <c r="V1018">
        <v>10000</v>
      </c>
      <c r="W1018">
        <v>10000</v>
      </c>
      <c r="X1018">
        <v>0.25222797096356059</v>
      </c>
      <c r="Y1018">
        <v>0.32832642874842222</v>
      </c>
    </row>
    <row r="1019" spans="1:25" x14ac:dyDescent="0.2">
      <c r="A1019" s="60" t="s">
        <v>4837</v>
      </c>
      <c r="B1019" t="s">
        <v>4838</v>
      </c>
      <c r="C1019" t="s">
        <v>4839</v>
      </c>
      <c r="D1019" t="s">
        <v>1375</v>
      </c>
      <c r="F1019">
        <v>301667</v>
      </c>
      <c r="J1019">
        <v>1</v>
      </c>
      <c r="L1019" t="s">
        <v>876</v>
      </c>
      <c r="M1019" t="s">
        <v>876</v>
      </c>
      <c r="N1019" t="s">
        <v>876</v>
      </c>
      <c r="O1019" t="s">
        <v>876</v>
      </c>
      <c r="P1019" t="s">
        <v>876</v>
      </c>
    </row>
    <row r="1020" spans="1:25" x14ac:dyDescent="0.2">
      <c r="A1020" s="60" t="s">
        <v>4840</v>
      </c>
      <c r="B1020" t="s">
        <v>4841</v>
      </c>
      <c r="C1020" t="s">
        <v>4842</v>
      </c>
      <c r="D1020" t="s">
        <v>1303</v>
      </c>
      <c r="F1020">
        <v>301668</v>
      </c>
      <c r="J1020">
        <v>1</v>
      </c>
      <c r="L1020" t="s">
        <v>876</v>
      </c>
      <c r="M1020" t="s">
        <v>876</v>
      </c>
      <c r="N1020" t="s">
        <v>876</v>
      </c>
      <c r="O1020" t="s">
        <v>876</v>
      </c>
      <c r="P1020" t="s">
        <v>876</v>
      </c>
    </row>
    <row r="1021" spans="1:25" x14ac:dyDescent="0.2">
      <c r="A1021" s="60" t="s">
        <v>4843</v>
      </c>
      <c r="B1021" t="s">
        <v>4844</v>
      </c>
      <c r="C1021" t="s">
        <v>4845</v>
      </c>
      <c r="D1021" t="s">
        <v>1297</v>
      </c>
      <c r="F1021">
        <v>301669</v>
      </c>
      <c r="J1021">
        <v>1</v>
      </c>
      <c r="L1021" t="s">
        <v>4846</v>
      </c>
      <c r="M1021" t="s">
        <v>4847</v>
      </c>
      <c r="N1021" t="s">
        <v>876</v>
      </c>
      <c r="O1021" t="s">
        <v>1032</v>
      </c>
      <c r="P1021" t="s">
        <v>1033</v>
      </c>
      <c r="T1021">
        <v>60.232394489999997</v>
      </c>
      <c r="U1021">
        <v>61.558906069999999</v>
      </c>
      <c r="V1021">
        <v>88.172612115235779</v>
      </c>
      <c r="W1021">
        <v>87.705597068424396</v>
      </c>
      <c r="X1021">
        <v>0.21618950237008802</v>
      </c>
      <c r="Y1021">
        <v>0.22589194320925249</v>
      </c>
    </row>
    <row r="1022" spans="1:25" x14ac:dyDescent="0.2">
      <c r="A1022" s="60" t="s">
        <v>4848</v>
      </c>
      <c r="B1022" t="s">
        <v>4849</v>
      </c>
      <c r="C1022" t="s">
        <v>4850</v>
      </c>
      <c r="D1022" t="s">
        <v>4851</v>
      </c>
      <c r="F1022">
        <v>301670</v>
      </c>
      <c r="J1022">
        <v>1</v>
      </c>
      <c r="L1022" t="s">
        <v>876</v>
      </c>
      <c r="M1022" t="s">
        <v>876</v>
      </c>
      <c r="N1022" t="s">
        <v>876</v>
      </c>
      <c r="O1022" t="s">
        <v>876</v>
      </c>
      <c r="P1022" t="s">
        <v>876</v>
      </c>
    </row>
    <row r="1023" spans="1:25" x14ac:dyDescent="0.2">
      <c r="A1023" s="60" t="s">
        <v>4852</v>
      </c>
      <c r="B1023" t="s">
        <v>4853</v>
      </c>
      <c r="C1023" t="s">
        <v>4854</v>
      </c>
      <c r="D1023" t="s">
        <v>1375</v>
      </c>
      <c r="F1023">
        <v>301671</v>
      </c>
      <c r="J1023">
        <v>1</v>
      </c>
      <c r="L1023" t="s">
        <v>876</v>
      </c>
      <c r="M1023" t="s">
        <v>876</v>
      </c>
      <c r="N1023" t="s">
        <v>876</v>
      </c>
      <c r="O1023" t="s">
        <v>876</v>
      </c>
      <c r="P1023" t="s">
        <v>876</v>
      </c>
    </row>
    <row r="1024" spans="1:25" x14ac:dyDescent="0.2">
      <c r="A1024" s="60" t="s">
        <v>4855</v>
      </c>
      <c r="B1024" t="s">
        <v>4856</v>
      </c>
      <c r="C1024" t="s">
        <v>4857</v>
      </c>
      <c r="D1024" t="s">
        <v>1375</v>
      </c>
      <c r="F1024">
        <v>301672</v>
      </c>
      <c r="J1024">
        <v>1</v>
      </c>
      <c r="L1024" t="s">
        <v>876</v>
      </c>
      <c r="M1024" t="s">
        <v>876</v>
      </c>
      <c r="N1024" t="s">
        <v>876</v>
      </c>
      <c r="O1024" t="s">
        <v>876</v>
      </c>
      <c r="P1024" t="s">
        <v>876</v>
      </c>
    </row>
    <row r="1025" spans="1:25" x14ac:dyDescent="0.2">
      <c r="A1025" s="60" t="s">
        <v>4858</v>
      </c>
      <c r="B1025" t="s">
        <v>4859</v>
      </c>
      <c r="C1025" t="s">
        <v>4860</v>
      </c>
      <c r="D1025" t="s">
        <v>782</v>
      </c>
      <c r="F1025">
        <v>301673</v>
      </c>
      <c r="J1025">
        <v>1</v>
      </c>
      <c r="K1025">
        <v>1</v>
      </c>
      <c r="L1025" t="s">
        <v>876</v>
      </c>
      <c r="M1025" t="s">
        <v>876</v>
      </c>
      <c r="N1025" t="s">
        <v>876</v>
      </c>
      <c r="O1025" t="s">
        <v>876</v>
      </c>
      <c r="P1025" t="s">
        <v>876</v>
      </c>
    </row>
    <row r="1026" spans="1:25" x14ac:dyDescent="0.2">
      <c r="A1026" s="60" t="s">
        <v>4861</v>
      </c>
      <c r="B1026" t="s">
        <v>4862</v>
      </c>
      <c r="C1026" t="s">
        <v>4863</v>
      </c>
      <c r="D1026" t="s">
        <v>1307</v>
      </c>
      <c r="F1026">
        <v>301674</v>
      </c>
      <c r="J1026">
        <v>1</v>
      </c>
      <c r="L1026" t="s">
        <v>4864</v>
      </c>
      <c r="M1026" t="s">
        <v>4865</v>
      </c>
      <c r="N1026" t="s">
        <v>876</v>
      </c>
      <c r="O1026" t="s">
        <v>1032</v>
      </c>
      <c r="P1026" t="s">
        <v>1033</v>
      </c>
      <c r="T1026">
        <v>18.1508562</v>
      </c>
      <c r="U1026">
        <v>8.1155837700000006</v>
      </c>
      <c r="V1026">
        <v>10000</v>
      </c>
      <c r="W1026">
        <v>10000</v>
      </c>
      <c r="X1026">
        <v>0.2111455411361875</v>
      </c>
      <c r="Y1026">
        <v>0.25376225415767095</v>
      </c>
    </row>
    <row r="1027" spans="1:25" x14ac:dyDescent="0.2">
      <c r="A1027" s="60" t="s">
        <v>4866</v>
      </c>
      <c r="B1027" t="s">
        <v>4867</v>
      </c>
      <c r="C1027" t="s">
        <v>4868</v>
      </c>
      <c r="D1027" t="s">
        <v>1318</v>
      </c>
      <c r="F1027">
        <v>301675</v>
      </c>
      <c r="J1027">
        <v>1</v>
      </c>
      <c r="L1027" t="s">
        <v>4869</v>
      </c>
      <c r="M1027" t="s">
        <v>4870</v>
      </c>
      <c r="N1027" t="s">
        <v>876</v>
      </c>
      <c r="O1027" t="s">
        <v>1032</v>
      </c>
      <c r="P1027" t="s">
        <v>1033</v>
      </c>
      <c r="T1027">
        <v>5.2750113350000003</v>
      </c>
      <c r="U1027">
        <v>3.8058973210000002</v>
      </c>
      <c r="V1027">
        <v>6.7419796776414636</v>
      </c>
      <c r="W1027">
        <v>4.9638307193224982</v>
      </c>
      <c r="X1027">
        <v>0.87717571562763563</v>
      </c>
      <c r="Y1027">
        <v>0.92665830625710055</v>
      </c>
    </row>
    <row r="1028" spans="1:25" x14ac:dyDescent="0.2">
      <c r="A1028" s="60" t="s">
        <v>4871</v>
      </c>
      <c r="B1028" t="s">
        <v>4872</v>
      </c>
      <c r="C1028" t="s">
        <v>4873</v>
      </c>
      <c r="D1028" t="s">
        <v>1318</v>
      </c>
      <c r="F1028">
        <v>301676</v>
      </c>
      <c r="J1028">
        <v>1</v>
      </c>
      <c r="L1028" t="s">
        <v>4874</v>
      </c>
      <c r="M1028" t="s">
        <v>4875</v>
      </c>
      <c r="N1028" t="s">
        <v>876</v>
      </c>
      <c r="O1028" t="s">
        <v>1032</v>
      </c>
      <c r="P1028" t="s">
        <v>1033</v>
      </c>
      <c r="T1028">
        <v>9.7404130430000002</v>
      </c>
      <c r="U1028">
        <v>12.9722165</v>
      </c>
      <c r="V1028">
        <v>188.88573670184766</v>
      </c>
      <c r="W1028">
        <v>77.976125779648825</v>
      </c>
      <c r="X1028">
        <v>0.33579597967443897</v>
      </c>
      <c r="Y1028">
        <v>0.36586027200705118</v>
      </c>
    </row>
    <row r="1029" spans="1:25" x14ac:dyDescent="0.2">
      <c r="A1029" s="60" t="s">
        <v>4876</v>
      </c>
      <c r="B1029" t="s">
        <v>4877</v>
      </c>
      <c r="C1029" t="s">
        <v>4878</v>
      </c>
      <c r="D1029" t="s">
        <v>1375</v>
      </c>
      <c r="F1029">
        <v>301677</v>
      </c>
      <c r="J1029">
        <v>1</v>
      </c>
      <c r="L1029" t="s">
        <v>876</v>
      </c>
      <c r="M1029" t="s">
        <v>876</v>
      </c>
      <c r="N1029" t="s">
        <v>876</v>
      </c>
      <c r="O1029" t="s">
        <v>876</v>
      </c>
      <c r="P1029" t="s">
        <v>876</v>
      </c>
    </row>
    <row r="1030" spans="1:25" x14ac:dyDescent="0.2">
      <c r="A1030" s="60" t="s">
        <v>1521</v>
      </c>
      <c r="B1030" t="s">
        <v>4879</v>
      </c>
      <c r="C1030" t="s">
        <v>4880</v>
      </c>
      <c r="D1030" t="s">
        <v>1318</v>
      </c>
      <c r="F1030">
        <v>301678</v>
      </c>
      <c r="J1030">
        <v>1</v>
      </c>
      <c r="L1030" t="s">
        <v>4881</v>
      </c>
      <c r="M1030" t="s">
        <v>4882</v>
      </c>
      <c r="N1030" t="s">
        <v>876</v>
      </c>
      <c r="O1030" t="s">
        <v>1032</v>
      </c>
      <c r="P1030" t="s">
        <v>1033</v>
      </c>
      <c r="T1030">
        <v>10000</v>
      </c>
      <c r="U1030">
        <v>6.5771409759999999</v>
      </c>
      <c r="V1030">
        <v>10000</v>
      </c>
      <c r="W1030">
        <v>7.5674292557232707</v>
      </c>
      <c r="X1030">
        <v>0.15080618134153079</v>
      </c>
      <c r="Y1030">
        <v>0.85826006881877559</v>
      </c>
    </row>
    <row r="1031" spans="1:25" x14ac:dyDescent="0.2">
      <c r="A1031" s="60" t="s">
        <v>4883</v>
      </c>
      <c r="B1031" t="s">
        <v>4884</v>
      </c>
      <c r="C1031" t="s">
        <v>4885</v>
      </c>
      <c r="D1031" t="s">
        <v>1517</v>
      </c>
      <c r="F1031">
        <v>301679</v>
      </c>
      <c r="J1031">
        <v>1</v>
      </c>
      <c r="L1031" t="s">
        <v>876</v>
      </c>
      <c r="M1031" t="s">
        <v>876</v>
      </c>
      <c r="N1031" t="s">
        <v>876</v>
      </c>
      <c r="O1031" t="s">
        <v>876</v>
      </c>
      <c r="P1031" t="s">
        <v>876</v>
      </c>
    </row>
    <row r="1032" spans="1:25" x14ac:dyDescent="0.2">
      <c r="A1032" s="60" t="s">
        <v>4886</v>
      </c>
      <c r="B1032" t="s">
        <v>4887</v>
      </c>
      <c r="C1032" t="s">
        <v>4888</v>
      </c>
      <c r="D1032" t="s">
        <v>1297</v>
      </c>
      <c r="F1032">
        <v>301681</v>
      </c>
      <c r="J1032">
        <v>1</v>
      </c>
      <c r="L1032" t="s">
        <v>4889</v>
      </c>
      <c r="M1032" t="s">
        <v>4890</v>
      </c>
      <c r="N1032" t="s">
        <v>876</v>
      </c>
      <c r="O1032" t="s">
        <v>667</v>
      </c>
      <c r="P1032" t="s">
        <v>1438</v>
      </c>
      <c r="Q1032">
        <v>1</v>
      </c>
      <c r="S1032">
        <v>1</v>
      </c>
      <c r="T1032">
        <v>8.1386908999999993E-2</v>
      </c>
      <c r="U1032">
        <v>4.5988638999999998E-2</v>
      </c>
      <c r="V1032">
        <v>0.5354292952459706</v>
      </c>
      <c r="W1032">
        <v>6.525268356871948E-2</v>
      </c>
      <c r="X1032">
        <v>0.98939952631076011</v>
      </c>
      <c r="Y1032">
        <v>0.99891576432078699</v>
      </c>
    </row>
    <row r="1033" spans="1:25" x14ac:dyDescent="0.2">
      <c r="A1033" s="60" t="s">
        <v>4891</v>
      </c>
      <c r="B1033" t="s">
        <v>4892</v>
      </c>
      <c r="C1033" t="s">
        <v>4893</v>
      </c>
      <c r="D1033" t="s">
        <v>2962</v>
      </c>
      <c r="F1033">
        <v>301682</v>
      </c>
      <c r="J1033">
        <v>1</v>
      </c>
      <c r="L1033" t="s">
        <v>876</v>
      </c>
      <c r="M1033" t="s">
        <v>876</v>
      </c>
      <c r="N1033" t="s">
        <v>876</v>
      </c>
      <c r="O1033" t="s">
        <v>876</v>
      </c>
      <c r="P1033" t="s">
        <v>876</v>
      </c>
    </row>
    <row r="1034" spans="1:25" x14ac:dyDescent="0.2">
      <c r="A1034" s="60" t="s">
        <v>4894</v>
      </c>
      <c r="B1034" t="s">
        <v>4895</v>
      </c>
      <c r="C1034" t="s">
        <v>4896</v>
      </c>
      <c r="D1034" t="s">
        <v>782</v>
      </c>
      <c r="F1034">
        <v>301684</v>
      </c>
      <c r="J1034">
        <v>1</v>
      </c>
      <c r="L1034" t="s">
        <v>876</v>
      </c>
      <c r="M1034" t="s">
        <v>876</v>
      </c>
      <c r="N1034" t="s">
        <v>876</v>
      </c>
      <c r="O1034" t="s">
        <v>876</v>
      </c>
      <c r="P1034" t="s">
        <v>876</v>
      </c>
    </row>
    <row r="1035" spans="1:25" x14ac:dyDescent="0.2">
      <c r="A1035" s="60" t="s">
        <v>4897</v>
      </c>
      <c r="B1035" t="s">
        <v>4898</v>
      </c>
      <c r="C1035" t="s">
        <v>4899</v>
      </c>
      <c r="D1035" t="s">
        <v>866</v>
      </c>
      <c r="F1035">
        <v>301685</v>
      </c>
      <c r="J1035">
        <v>1</v>
      </c>
      <c r="L1035" t="s">
        <v>876</v>
      </c>
      <c r="M1035" t="s">
        <v>876</v>
      </c>
      <c r="N1035" t="s">
        <v>876</v>
      </c>
      <c r="O1035" t="s">
        <v>876</v>
      </c>
      <c r="P1035" t="s">
        <v>876</v>
      </c>
    </row>
    <row r="1036" spans="1:25" x14ac:dyDescent="0.2">
      <c r="A1036" s="60" t="s">
        <v>4900</v>
      </c>
      <c r="B1036" t="s">
        <v>4901</v>
      </c>
      <c r="C1036" t="s">
        <v>4902</v>
      </c>
      <c r="D1036" t="s">
        <v>1318</v>
      </c>
      <c r="F1036">
        <v>301686</v>
      </c>
      <c r="J1036">
        <v>1</v>
      </c>
      <c r="L1036" t="s">
        <v>4903</v>
      </c>
      <c r="M1036" t="s">
        <v>4904</v>
      </c>
      <c r="N1036" t="s">
        <v>876</v>
      </c>
      <c r="O1036" t="s">
        <v>1032</v>
      </c>
      <c r="P1036" t="s">
        <v>1033</v>
      </c>
      <c r="T1036">
        <v>65.836174330000006</v>
      </c>
      <c r="U1036">
        <v>70.988838900000005</v>
      </c>
      <c r="V1036">
        <v>73.668980685006517</v>
      </c>
      <c r="W1036">
        <v>79.17342268101568</v>
      </c>
      <c r="X1036">
        <v>0.14712051267937012</v>
      </c>
      <c r="Y1036">
        <v>0.18172414852581964</v>
      </c>
    </row>
    <row r="1037" spans="1:25" x14ac:dyDescent="0.2">
      <c r="A1037" s="60" t="s">
        <v>4905</v>
      </c>
      <c r="B1037" t="s">
        <v>4906</v>
      </c>
      <c r="C1037" t="s">
        <v>4907</v>
      </c>
      <c r="D1037" t="s">
        <v>1517</v>
      </c>
      <c r="F1037">
        <v>301687</v>
      </c>
      <c r="J1037">
        <v>1</v>
      </c>
      <c r="L1037" t="s">
        <v>876</v>
      </c>
      <c r="M1037" t="s">
        <v>876</v>
      </c>
      <c r="N1037" t="s">
        <v>876</v>
      </c>
      <c r="O1037" t="s">
        <v>876</v>
      </c>
      <c r="P1037" t="s">
        <v>876</v>
      </c>
    </row>
    <row r="1038" spans="1:25" x14ac:dyDescent="0.2">
      <c r="A1038" s="60" t="s">
        <v>4908</v>
      </c>
      <c r="B1038" t="s">
        <v>4909</v>
      </c>
      <c r="C1038" t="s">
        <v>4910</v>
      </c>
      <c r="D1038" t="s">
        <v>1375</v>
      </c>
      <c r="F1038">
        <v>301688</v>
      </c>
      <c r="J1038">
        <v>1</v>
      </c>
      <c r="L1038" t="s">
        <v>876</v>
      </c>
      <c r="M1038" t="s">
        <v>876</v>
      </c>
      <c r="N1038" t="s">
        <v>876</v>
      </c>
      <c r="O1038" t="s">
        <v>876</v>
      </c>
      <c r="P1038" t="s">
        <v>876</v>
      </c>
    </row>
    <row r="1039" spans="1:25" x14ac:dyDescent="0.2">
      <c r="A1039" s="60" t="s">
        <v>4911</v>
      </c>
      <c r="B1039" t="s">
        <v>4912</v>
      </c>
      <c r="C1039" t="s">
        <v>4913</v>
      </c>
      <c r="D1039" t="s">
        <v>4914</v>
      </c>
      <c r="F1039">
        <v>301689</v>
      </c>
      <c r="J1039">
        <v>1</v>
      </c>
      <c r="L1039" t="s">
        <v>876</v>
      </c>
      <c r="M1039" t="s">
        <v>876</v>
      </c>
      <c r="N1039" t="s">
        <v>876</v>
      </c>
      <c r="O1039" t="s">
        <v>876</v>
      </c>
      <c r="P1039" t="s">
        <v>876</v>
      </c>
    </row>
    <row r="1040" spans="1:25" x14ac:dyDescent="0.2">
      <c r="A1040" s="60" t="s">
        <v>4915</v>
      </c>
      <c r="B1040" t="s">
        <v>4916</v>
      </c>
      <c r="C1040" t="s">
        <v>4917</v>
      </c>
      <c r="D1040" t="s">
        <v>1517</v>
      </c>
      <c r="F1040">
        <v>301690</v>
      </c>
      <c r="J1040">
        <v>1</v>
      </c>
      <c r="L1040" t="s">
        <v>876</v>
      </c>
      <c r="M1040" t="s">
        <v>876</v>
      </c>
      <c r="N1040" t="s">
        <v>876</v>
      </c>
      <c r="O1040" t="s">
        <v>876</v>
      </c>
      <c r="P1040" t="s">
        <v>876</v>
      </c>
    </row>
    <row r="1041" spans="1:25" x14ac:dyDescent="0.2">
      <c r="A1041" s="60" t="s">
        <v>4918</v>
      </c>
      <c r="B1041" t="s">
        <v>4919</v>
      </c>
      <c r="C1041" t="s">
        <v>4920</v>
      </c>
      <c r="D1041" t="s">
        <v>1375</v>
      </c>
      <c r="F1041">
        <v>301691</v>
      </c>
      <c r="J1041">
        <v>1</v>
      </c>
      <c r="L1041" t="s">
        <v>876</v>
      </c>
      <c r="M1041" t="s">
        <v>876</v>
      </c>
      <c r="N1041" t="s">
        <v>876</v>
      </c>
      <c r="O1041" t="s">
        <v>876</v>
      </c>
      <c r="P1041" t="s">
        <v>876</v>
      </c>
    </row>
    <row r="1042" spans="1:25" x14ac:dyDescent="0.2">
      <c r="A1042" s="60" t="s">
        <v>4921</v>
      </c>
      <c r="B1042" t="s">
        <v>4922</v>
      </c>
      <c r="C1042" t="s">
        <v>4923</v>
      </c>
      <c r="D1042" t="s">
        <v>1318</v>
      </c>
      <c r="F1042">
        <v>301692</v>
      </c>
      <c r="J1042">
        <v>1</v>
      </c>
      <c r="L1042" t="s">
        <v>4924</v>
      </c>
      <c r="M1042" t="s">
        <v>921</v>
      </c>
      <c r="N1042" t="s">
        <v>876</v>
      </c>
      <c r="O1042" t="s">
        <v>1032</v>
      </c>
      <c r="P1042" t="s">
        <v>1033</v>
      </c>
      <c r="T1042" t="s">
        <v>0</v>
      </c>
      <c r="U1042">
        <v>15.18204263</v>
      </c>
      <c r="V1042" t="s">
        <v>0</v>
      </c>
      <c r="W1042">
        <v>19.547435887035917</v>
      </c>
      <c r="X1042">
        <v>0.14849562828241919</v>
      </c>
      <c r="Y1042">
        <v>0.85471698001094687</v>
      </c>
    </row>
    <row r="1043" spans="1:25" x14ac:dyDescent="0.2">
      <c r="A1043" s="60" t="s">
        <v>4925</v>
      </c>
      <c r="B1043" t="s">
        <v>4926</v>
      </c>
      <c r="C1043" t="s">
        <v>4927</v>
      </c>
      <c r="D1043" t="s">
        <v>1517</v>
      </c>
      <c r="F1043">
        <v>301693</v>
      </c>
      <c r="J1043">
        <v>1</v>
      </c>
      <c r="L1043" t="s">
        <v>876</v>
      </c>
      <c r="M1043" t="s">
        <v>876</v>
      </c>
      <c r="N1043" t="s">
        <v>876</v>
      </c>
      <c r="O1043" t="s">
        <v>876</v>
      </c>
      <c r="P1043" t="s">
        <v>876</v>
      </c>
    </row>
    <row r="1044" spans="1:25" x14ac:dyDescent="0.2">
      <c r="A1044" s="60" t="s">
        <v>1526</v>
      </c>
      <c r="B1044" t="s">
        <v>4928</v>
      </c>
      <c r="C1044" t="s">
        <v>4929</v>
      </c>
      <c r="D1044" t="s">
        <v>1517</v>
      </c>
      <c r="F1044">
        <v>301694</v>
      </c>
      <c r="J1044">
        <v>1</v>
      </c>
      <c r="L1044" t="s">
        <v>876</v>
      </c>
      <c r="M1044" t="s">
        <v>876</v>
      </c>
      <c r="N1044" t="s">
        <v>876</v>
      </c>
      <c r="O1044" t="s">
        <v>876</v>
      </c>
      <c r="P1044" t="s">
        <v>876</v>
      </c>
    </row>
    <row r="1045" spans="1:25" x14ac:dyDescent="0.2">
      <c r="A1045" s="60" t="s">
        <v>1530</v>
      </c>
      <c r="B1045" t="s">
        <v>4930</v>
      </c>
      <c r="C1045" t="s">
        <v>4931</v>
      </c>
      <c r="D1045" t="s">
        <v>1514</v>
      </c>
      <c r="F1045">
        <v>301695</v>
      </c>
      <c r="J1045">
        <v>1</v>
      </c>
      <c r="L1045" t="s">
        <v>876</v>
      </c>
      <c r="M1045" t="s">
        <v>876</v>
      </c>
      <c r="N1045" t="s">
        <v>876</v>
      </c>
      <c r="O1045" t="s">
        <v>876</v>
      </c>
      <c r="P1045" t="s">
        <v>876</v>
      </c>
    </row>
    <row r="1046" spans="1:25" x14ac:dyDescent="0.2">
      <c r="A1046" s="60" t="s">
        <v>4870</v>
      </c>
      <c r="B1046" t="s">
        <v>4932</v>
      </c>
      <c r="C1046" t="s">
        <v>4933</v>
      </c>
      <c r="D1046" t="s">
        <v>1307</v>
      </c>
      <c r="F1046">
        <v>301696</v>
      </c>
      <c r="J1046">
        <v>1</v>
      </c>
      <c r="L1046" t="s">
        <v>4934</v>
      </c>
      <c r="M1046" t="s">
        <v>4935</v>
      </c>
      <c r="N1046" t="s">
        <v>876</v>
      </c>
      <c r="O1046" t="s">
        <v>1032</v>
      </c>
      <c r="P1046" t="s">
        <v>1033</v>
      </c>
      <c r="T1046">
        <v>206.76807109999999</v>
      </c>
      <c r="U1046">
        <v>10000</v>
      </c>
      <c r="V1046">
        <v>10000</v>
      </c>
      <c r="W1046">
        <v>10000</v>
      </c>
      <c r="X1046">
        <v>0.1813234984703172</v>
      </c>
      <c r="Y1046">
        <v>0.21189012688489914</v>
      </c>
    </row>
    <row r="1047" spans="1:25" x14ac:dyDescent="0.2">
      <c r="A1047" s="60" t="s">
        <v>4936</v>
      </c>
      <c r="B1047" t="s">
        <v>4937</v>
      </c>
      <c r="C1047" t="s">
        <v>4938</v>
      </c>
      <c r="D1047" t="s">
        <v>1297</v>
      </c>
      <c r="F1047">
        <v>301697</v>
      </c>
      <c r="J1047">
        <v>1</v>
      </c>
      <c r="L1047" t="s">
        <v>4939</v>
      </c>
      <c r="M1047" t="s">
        <v>4921</v>
      </c>
      <c r="N1047" t="s">
        <v>876</v>
      </c>
      <c r="O1047" t="s">
        <v>1032</v>
      </c>
      <c r="P1047" t="s">
        <v>1033</v>
      </c>
      <c r="T1047" t="s">
        <v>0</v>
      </c>
      <c r="U1047">
        <v>50.986639490000002</v>
      </c>
      <c r="V1047" t="s">
        <v>0</v>
      </c>
      <c r="W1047">
        <v>57.651706378046505</v>
      </c>
      <c r="X1047">
        <v>0.11979240556803122</v>
      </c>
      <c r="Y1047">
        <v>0.24700817007680004</v>
      </c>
    </row>
    <row r="1048" spans="1:25" x14ac:dyDescent="0.2">
      <c r="A1048" s="60" t="s">
        <v>4940</v>
      </c>
      <c r="B1048" t="s">
        <v>4941</v>
      </c>
      <c r="C1048" t="s">
        <v>4942</v>
      </c>
      <c r="D1048" t="s">
        <v>1297</v>
      </c>
      <c r="F1048">
        <v>301698</v>
      </c>
      <c r="J1048">
        <v>1</v>
      </c>
      <c r="L1048" t="s">
        <v>4943</v>
      </c>
      <c r="M1048" t="s">
        <v>4346</v>
      </c>
      <c r="N1048" t="s">
        <v>876</v>
      </c>
      <c r="O1048" t="s">
        <v>1032</v>
      </c>
      <c r="P1048" t="s">
        <v>1033</v>
      </c>
      <c r="T1048">
        <v>10000</v>
      </c>
      <c r="U1048">
        <v>10000</v>
      </c>
      <c r="V1048">
        <v>10000</v>
      </c>
      <c r="W1048">
        <v>10000</v>
      </c>
      <c r="X1048">
        <v>0.24734957342261921</v>
      </c>
      <c r="Y1048">
        <v>0.27578647663510258</v>
      </c>
    </row>
    <row r="1049" spans="1:25" x14ac:dyDescent="0.2">
      <c r="A1049" s="60" t="s">
        <v>4944</v>
      </c>
      <c r="B1049" t="s">
        <v>4945</v>
      </c>
      <c r="C1049" t="s">
        <v>4946</v>
      </c>
      <c r="D1049" t="s">
        <v>1375</v>
      </c>
      <c r="F1049">
        <v>301699</v>
      </c>
      <c r="J1049">
        <v>1</v>
      </c>
      <c r="L1049" t="s">
        <v>876</v>
      </c>
      <c r="M1049" t="s">
        <v>876</v>
      </c>
      <c r="N1049" t="s">
        <v>876</v>
      </c>
      <c r="O1049" t="s">
        <v>876</v>
      </c>
      <c r="P1049" t="s">
        <v>876</v>
      </c>
    </row>
    <row r="1050" spans="1:25" x14ac:dyDescent="0.2">
      <c r="A1050" s="60" t="s">
        <v>4947</v>
      </c>
      <c r="B1050" t="s">
        <v>4948</v>
      </c>
      <c r="C1050" t="s">
        <v>4949</v>
      </c>
      <c r="D1050" t="s">
        <v>782</v>
      </c>
      <c r="F1050">
        <v>301700</v>
      </c>
      <c r="J1050">
        <v>1</v>
      </c>
      <c r="L1050" t="s">
        <v>876</v>
      </c>
      <c r="M1050" t="s">
        <v>876</v>
      </c>
      <c r="N1050" t="s">
        <v>876</v>
      </c>
      <c r="O1050" t="s">
        <v>876</v>
      </c>
      <c r="P1050" t="s">
        <v>876</v>
      </c>
    </row>
    <row r="1051" spans="1:25" x14ac:dyDescent="0.2">
      <c r="A1051" s="60" t="s">
        <v>4950</v>
      </c>
      <c r="B1051" t="s">
        <v>4951</v>
      </c>
      <c r="C1051" t="s">
        <v>4952</v>
      </c>
      <c r="D1051" t="s">
        <v>1307</v>
      </c>
      <c r="F1051">
        <v>301701</v>
      </c>
      <c r="J1051">
        <v>1</v>
      </c>
      <c r="L1051" t="s">
        <v>4953</v>
      </c>
      <c r="M1051" t="s">
        <v>4954</v>
      </c>
      <c r="N1051" t="s">
        <v>876</v>
      </c>
      <c r="O1051" t="s">
        <v>1032</v>
      </c>
      <c r="P1051" t="s">
        <v>1033</v>
      </c>
      <c r="T1051" t="s">
        <v>0</v>
      </c>
      <c r="U1051">
        <v>10000</v>
      </c>
      <c r="V1051" t="s">
        <v>0</v>
      </c>
      <c r="W1051">
        <v>10000</v>
      </c>
      <c r="X1051">
        <v>0.20833333241069463</v>
      </c>
      <c r="Y1051">
        <v>0.25520832258286213</v>
      </c>
    </row>
    <row r="1052" spans="1:25" x14ac:dyDescent="0.2">
      <c r="A1052" s="60" t="s">
        <v>4955</v>
      </c>
      <c r="B1052" t="s">
        <v>4956</v>
      </c>
      <c r="C1052" t="s">
        <v>4957</v>
      </c>
      <c r="D1052" t="s">
        <v>866</v>
      </c>
      <c r="F1052">
        <v>301702</v>
      </c>
      <c r="J1052">
        <v>1</v>
      </c>
      <c r="L1052" t="s">
        <v>876</v>
      </c>
      <c r="M1052" t="s">
        <v>876</v>
      </c>
      <c r="N1052" t="s">
        <v>876</v>
      </c>
      <c r="O1052" t="s">
        <v>876</v>
      </c>
      <c r="P1052" t="s">
        <v>876</v>
      </c>
    </row>
    <row r="1053" spans="1:25" x14ac:dyDescent="0.2">
      <c r="A1053" s="60" t="s">
        <v>4958</v>
      </c>
      <c r="B1053" t="s">
        <v>4959</v>
      </c>
      <c r="C1053" t="s">
        <v>4960</v>
      </c>
      <c r="D1053" t="s">
        <v>1514</v>
      </c>
      <c r="F1053">
        <v>301703</v>
      </c>
      <c r="J1053">
        <v>1</v>
      </c>
      <c r="L1053" t="s">
        <v>876</v>
      </c>
      <c r="M1053" t="s">
        <v>876</v>
      </c>
      <c r="N1053" t="s">
        <v>876</v>
      </c>
      <c r="O1053" t="s">
        <v>876</v>
      </c>
      <c r="P1053" t="s">
        <v>876</v>
      </c>
    </row>
    <row r="1054" spans="1:25" x14ac:dyDescent="0.2">
      <c r="A1054" s="60" t="s">
        <v>4961</v>
      </c>
      <c r="B1054" t="s">
        <v>4962</v>
      </c>
      <c r="C1054" t="s">
        <v>4963</v>
      </c>
      <c r="D1054" t="s">
        <v>1307</v>
      </c>
      <c r="F1054">
        <v>301704</v>
      </c>
      <c r="J1054">
        <v>1</v>
      </c>
      <c r="L1054" t="s">
        <v>4964</v>
      </c>
      <c r="M1054" t="s">
        <v>4965</v>
      </c>
      <c r="N1054" t="s">
        <v>876</v>
      </c>
      <c r="O1054" t="s">
        <v>1032</v>
      </c>
      <c r="P1054" t="s">
        <v>1033</v>
      </c>
      <c r="T1054">
        <v>73.598391390000003</v>
      </c>
      <c r="U1054">
        <v>77.384615519999997</v>
      </c>
      <c r="V1054">
        <v>125.69204726721547</v>
      </c>
      <c r="W1054">
        <v>118.86443426042102</v>
      </c>
      <c r="X1054">
        <v>0.18204821400177659</v>
      </c>
      <c r="Y1054">
        <v>0.22823857299044933</v>
      </c>
    </row>
    <row r="1055" spans="1:25" x14ac:dyDescent="0.2">
      <c r="A1055" s="60" t="s">
        <v>4966</v>
      </c>
      <c r="B1055" t="s">
        <v>4967</v>
      </c>
      <c r="C1055" t="s">
        <v>4968</v>
      </c>
      <c r="D1055" t="s">
        <v>1517</v>
      </c>
      <c r="F1055">
        <v>301705</v>
      </c>
      <c r="J1055">
        <v>1</v>
      </c>
      <c r="L1055" t="s">
        <v>876</v>
      </c>
      <c r="M1055" t="s">
        <v>876</v>
      </c>
      <c r="N1055" t="s">
        <v>876</v>
      </c>
      <c r="O1055" t="s">
        <v>876</v>
      </c>
      <c r="P1055" t="s">
        <v>876</v>
      </c>
    </row>
    <row r="1056" spans="1:25" x14ac:dyDescent="0.2">
      <c r="A1056" s="60" t="s">
        <v>4969</v>
      </c>
      <c r="B1056" t="s">
        <v>4970</v>
      </c>
      <c r="C1056" t="s">
        <v>4971</v>
      </c>
      <c r="D1056" t="s">
        <v>1375</v>
      </c>
      <c r="F1056">
        <v>301706</v>
      </c>
      <c r="J1056">
        <v>1</v>
      </c>
      <c r="L1056" t="s">
        <v>876</v>
      </c>
      <c r="M1056" t="s">
        <v>876</v>
      </c>
      <c r="N1056" t="s">
        <v>876</v>
      </c>
      <c r="O1056" t="s">
        <v>876</v>
      </c>
      <c r="P1056" t="s">
        <v>876</v>
      </c>
    </row>
    <row r="1057" spans="1:16" x14ac:dyDescent="0.2">
      <c r="A1057" s="60" t="s">
        <v>4972</v>
      </c>
      <c r="B1057" t="s">
        <v>4973</v>
      </c>
      <c r="C1057" t="s">
        <v>4974</v>
      </c>
      <c r="D1057" t="s">
        <v>866</v>
      </c>
      <c r="F1057">
        <v>301707</v>
      </c>
      <c r="J1057">
        <v>1</v>
      </c>
      <c r="L1057" t="s">
        <v>876</v>
      </c>
      <c r="M1057" t="s">
        <v>876</v>
      </c>
      <c r="N1057" t="s">
        <v>876</v>
      </c>
      <c r="O1057" t="s">
        <v>876</v>
      </c>
      <c r="P1057" t="s">
        <v>876</v>
      </c>
    </row>
    <row r="1058" spans="1:16" x14ac:dyDescent="0.2">
      <c r="A1058" s="60" t="s">
        <v>4975</v>
      </c>
      <c r="B1058" t="s">
        <v>4976</v>
      </c>
      <c r="C1058" t="s">
        <v>4977</v>
      </c>
      <c r="D1058" t="s">
        <v>2962</v>
      </c>
      <c r="F1058">
        <v>301708</v>
      </c>
      <c r="J1058">
        <v>1</v>
      </c>
      <c r="L1058" t="s">
        <v>876</v>
      </c>
      <c r="M1058" t="s">
        <v>876</v>
      </c>
      <c r="N1058" t="s">
        <v>876</v>
      </c>
      <c r="O1058" t="s">
        <v>876</v>
      </c>
      <c r="P1058" t="s">
        <v>876</v>
      </c>
    </row>
    <row r="1059" spans="1:16" x14ac:dyDescent="0.2">
      <c r="A1059" s="60" t="s">
        <v>4978</v>
      </c>
      <c r="B1059" t="s">
        <v>4979</v>
      </c>
      <c r="C1059" t="s">
        <v>4980</v>
      </c>
      <c r="D1059" t="s">
        <v>1517</v>
      </c>
      <c r="F1059">
        <v>301709</v>
      </c>
      <c r="J1059">
        <v>1</v>
      </c>
      <c r="L1059" t="s">
        <v>876</v>
      </c>
      <c r="M1059" t="s">
        <v>876</v>
      </c>
      <c r="N1059" t="s">
        <v>876</v>
      </c>
      <c r="O1059" t="s">
        <v>876</v>
      </c>
      <c r="P1059" t="s">
        <v>876</v>
      </c>
    </row>
    <row r="1060" spans="1:16" x14ac:dyDescent="0.2">
      <c r="A1060" s="60" t="s">
        <v>4981</v>
      </c>
      <c r="B1060" t="s">
        <v>4982</v>
      </c>
      <c r="C1060" t="s">
        <v>4983</v>
      </c>
      <c r="D1060" t="s">
        <v>1375</v>
      </c>
      <c r="F1060">
        <v>301710</v>
      </c>
      <c r="J1060">
        <v>1</v>
      </c>
      <c r="L1060" t="s">
        <v>876</v>
      </c>
      <c r="M1060" t="s">
        <v>876</v>
      </c>
      <c r="N1060" t="s">
        <v>876</v>
      </c>
      <c r="O1060" t="s">
        <v>876</v>
      </c>
      <c r="P1060" t="s">
        <v>876</v>
      </c>
    </row>
    <row r="1061" spans="1:16" x14ac:dyDescent="0.2">
      <c r="A1061" s="60" t="s">
        <v>4984</v>
      </c>
      <c r="B1061" t="s">
        <v>4985</v>
      </c>
      <c r="C1061" t="s">
        <v>4986</v>
      </c>
      <c r="D1061" t="s">
        <v>1375</v>
      </c>
      <c r="F1061">
        <v>301711</v>
      </c>
      <c r="J1061">
        <v>1</v>
      </c>
      <c r="L1061" t="s">
        <v>876</v>
      </c>
      <c r="M1061" t="s">
        <v>876</v>
      </c>
      <c r="N1061" t="s">
        <v>876</v>
      </c>
      <c r="O1061" t="s">
        <v>876</v>
      </c>
      <c r="P1061" t="s">
        <v>876</v>
      </c>
    </row>
    <row r="1062" spans="1:16" x14ac:dyDescent="0.2">
      <c r="A1062" s="60" t="s">
        <v>4987</v>
      </c>
      <c r="B1062" t="s">
        <v>4988</v>
      </c>
      <c r="C1062" t="s">
        <v>4989</v>
      </c>
      <c r="D1062" t="s">
        <v>1375</v>
      </c>
      <c r="F1062">
        <v>301712</v>
      </c>
      <c r="J1062">
        <v>1</v>
      </c>
      <c r="L1062" t="s">
        <v>876</v>
      </c>
      <c r="M1062" t="s">
        <v>876</v>
      </c>
      <c r="N1062" t="s">
        <v>876</v>
      </c>
      <c r="O1062" t="s">
        <v>876</v>
      </c>
      <c r="P1062" t="s">
        <v>876</v>
      </c>
    </row>
    <row r="1063" spans="1:16" x14ac:dyDescent="0.2">
      <c r="A1063" s="60" t="s">
        <v>4990</v>
      </c>
      <c r="B1063" t="s">
        <v>4991</v>
      </c>
      <c r="C1063" t="s">
        <v>4992</v>
      </c>
      <c r="D1063" t="s">
        <v>1375</v>
      </c>
      <c r="F1063">
        <v>301713</v>
      </c>
      <c r="J1063">
        <v>1</v>
      </c>
      <c r="L1063" t="s">
        <v>876</v>
      </c>
      <c r="M1063" t="s">
        <v>876</v>
      </c>
      <c r="N1063" t="s">
        <v>876</v>
      </c>
      <c r="O1063" t="s">
        <v>876</v>
      </c>
      <c r="P1063" t="s">
        <v>876</v>
      </c>
    </row>
    <row r="1064" spans="1:16" x14ac:dyDescent="0.2">
      <c r="A1064" s="60" t="s">
        <v>4993</v>
      </c>
      <c r="B1064" t="s">
        <v>4994</v>
      </c>
      <c r="C1064" t="s">
        <v>4995</v>
      </c>
      <c r="D1064" t="s">
        <v>1375</v>
      </c>
      <c r="F1064">
        <v>301714</v>
      </c>
      <c r="J1064">
        <v>1</v>
      </c>
      <c r="L1064" t="s">
        <v>876</v>
      </c>
      <c r="M1064" t="s">
        <v>876</v>
      </c>
      <c r="N1064" t="s">
        <v>876</v>
      </c>
      <c r="O1064" t="s">
        <v>876</v>
      </c>
      <c r="P1064" t="s">
        <v>876</v>
      </c>
    </row>
    <row r="1065" spans="1:16" x14ac:dyDescent="0.2">
      <c r="A1065" s="60" t="s">
        <v>4996</v>
      </c>
      <c r="B1065" t="s">
        <v>4997</v>
      </c>
      <c r="C1065" t="s">
        <v>4998</v>
      </c>
      <c r="D1065" t="s">
        <v>1514</v>
      </c>
      <c r="F1065">
        <v>301715</v>
      </c>
      <c r="J1065">
        <v>1</v>
      </c>
      <c r="L1065" t="s">
        <v>876</v>
      </c>
      <c r="M1065" t="s">
        <v>876</v>
      </c>
      <c r="N1065" t="s">
        <v>876</v>
      </c>
      <c r="O1065" t="s">
        <v>876</v>
      </c>
      <c r="P1065" t="s">
        <v>876</v>
      </c>
    </row>
    <row r="1066" spans="1:16" x14ac:dyDescent="0.2">
      <c r="A1066" s="60" t="s">
        <v>4999</v>
      </c>
      <c r="B1066" t="s">
        <v>5000</v>
      </c>
      <c r="C1066" t="s">
        <v>5001</v>
      </c>
      <c r="D1066" t="s">
        <v>1375</v>
      </c>
      <c r="F1066">
        <v>301716</v>
      </c>
      <c r="J1066">
        <v>1</v>
      </c>
      <c r="L1066" t="s">
        <v>876</v>
      </c>
      <c r="M1066" t="s">
        <v>876</v>
      </c>
      <c r="N1066" t="s">
        <v>876</v>
      </c>
      <c r="O1066" t="s">
        <v>876</v>
      </c>
      <c r="P1066" t="s">
        <v>876</v>
      </c>
    </row>
    <row r="1067" spans="1:16" x14ac:dyDescent="0.2">
      <c r="A1067" s="60" t="s">
        <v>5002</v>
      </c>
      <c r="B1067" t="s">
        <v>5003</v>
      </c>
      <c r="C1067" t="s">
        <v>5004</v>
      </c>
      <c r="D1067" t="s">
        <v>805</v>
      </c>
      <c r="F1067">
        <v>301721</v>
      </c>
      <c r="J1067">
        <v>1</v>
      </c>
      <c r="L1067" t="s">
        <v>876</v>
      </c>
      <c r="M1067" t="s">
        <v>876</v>
      </c>
      <c r="N1067" t="s">
        <v>876</v>
      </c>
      <c r="O1067" t="s">
        <v>876</v>
      </c>
      <c r="P1067" t="s">
        <v>876</v>
      </c>
    </row>
    <row r="1068" spans="1:16" x14ac:dyDescent="0.2">
      <c r="A1068" s="60" t="s">
        <v>1541</v>
      </c>
      <c r="B1068" t="s">
        <v>5005</v>
      </c>
      <c r="C1068" t="s">
        <v>5006</v>
      </c>
      <c r="D1068" t="s">
        <v>1517</v>
      </c>
      <c r="F1068">
        <v>301746</v>
      </c>
      <c r="J1068">
        <v>1</v>
      </c>
      <c r="L1068" t="s">
        <v>876</v>
      </c>
      <c r="M1068" t="s">
        <v>876</v>
      </c>
      <c r="N1068" t="s">
        <v>876</v>
      </c>
      <c r="O1068" t="s">
        <v>876</v>
      </c>
      <c r="P1068" t="s">
        <v>876</v>
      </c>
    </row>
    <row r="1069" spans="1:16" x14ac:dyDescent="0.2">
      <c r="A1069" s="60" t="s">
        <v>5007</v>
      </c>
      <c r="B1069" t="s">
        <v>5008</v>
      </c>
      <c r="C1069" t="s">
        <v>5009</v>
      </c>
      <c r="D1069" t="s">
        <v>1517</v>
      </c>
      <c r="F1069">
        <v>301747</v>
      </c>
      <c r="J1069">
        <v>1</v>
      </c>
      <c r="L1069" t="s">
        <v>876</v>
      </c>
      <c r="M1069" t="s">
        <v>876</v>
      </c>
      <c r="N1069" t="s">
        <v>876</v>
      </c>
      <c r="O1069" t="s">
        <v>876</v>
      </c>
      <c r="P1069" t="s">
        <v>876</v>
      </c>
    </row>
    <row r="1070" spans="1:16" x14ac:dyDescent="0.2">
      <c r="A1070" s="60" t="s">
        <v>5010</v>
      </c>
      <c r="B1070" t="s">
        <v>5011</v>
      </c>
      <c r="C1070" t="s">
        <v>5012</v>
      </c>
      <c r="D1070" t="s">
        <v>866</v>
      </c>
      <c r="F1070">
        <v>301748</v>
      </c>
      <c r="J1070">
        <v>1</v>
      </c>
      <c r="L1070" t="s">
        <v>876</v>
      </c>
      <c r="M1070" t="s">
        <v>876</v>
      </c>
      <c r="N1070" t="s">
        <v>876</v>
      </c>
      <c r="O1070" t="s">
        <v>876</v>
      </c>
      <c r="P1070" t="s">
        <v>876</v>
      </c>
    </row>
    <row r="1071" spans="1:16" x14ac:dyDescent="0.2">
      <c r="A1071" s="60" t="s">
        <v>808</v>
      </c>
      <c r="B1071" t="s">
        <v>5013</v>
      </c>
      <c r="C1071" t="s">
        <v>5014</v>
      </c>
      <c r="D1071" t="s">
        <v>1375</v>
      </c>
      <c r="F1071">
        <v>301749</v>
      </c>
      <c r="J1071">
        <v>1</v>
      </c>
      <c r="L1071" t="s">
        <v>876</v>
      </c>
      <c r="M1071" t="s">
        <v>876</v>
      </c>
      <c r="N1071" t="s">
        <v>876</v>
      </c>
      <c r="O1071" t="s">
        <v>876</v>
      </c>
      <c r="P1071" t="s">
        <v>876</v>
      </c>
    </row>
    <row r="1072" spans="1:16" x14ac:dyDescent="0.2">
      <c r="A1072" s="60" t="s">
        <v>5015</v>
      </c>
      <c r="B1072" t="s">
        <v>5016</v>
      </c>
      <c r="C1072" t="s">
        <v>5017</v>
      </c>
      <c r="D1072" t="s">
        <v>866</v>
      </c>
      <c r="F1072">
        <v>301750</v>
      </c>
      <c r="J1072">
        <v>1</v>
      </c>
      <c r="L1072" t="s">
        <v>876</v>
      </c>
      <c r="M1072" t="s">
        <v>876</v>
      </c>
      <c r="N1072" t="s">
        <v>876</v>
      </c>
      <c r="O1072" t="s">
        <v>876</v>
      </c>
      <c r="P1072" t="s">
        <v>876</v>
      </c>
    </row>
    <row r="1073" spans="1:25" x14ac:dyDescent="0.2">
      <c r="A1073" s="60" t="s">
        <v>5018</v>
      </c>
      <c r="B1073" t="s">
        <v>5019</v>
      </c>
      <c r="C1073" t="s">
        <v>5020</v>
      </c>
      <c r="D1073" t="s">
        <v>866</v>
      </c>
      <c r="F1073">
        <v>301751</v>
      </c>
      <c r="J1073">
        <v>1</v>
      </c>
      <c r="L1073" t="s">
        <v>876</v>
      </c>
      <c r="M1073" t="s">
        <v>876</v>
      </c>
      <c r="N1073" t="s">
        <v>876</v>
      </c>
      <c r="O1073" t="s">
        <v>876</v>
      </c>
      <c r="P1073" t="s">
        <v>876</v>
      </c>
    </row>
    <row r="1074" spans="1:25" x14ac:dyDescent="0.2">
      <c r="A1074" s="60" t="s">
        <v>5021</v>
      </c>
      <c r="B1074" t="s">
        <v>5022</v>
      </c>
      <c r="C1074" t="s">
        <v>5023</v>
      </c>
      <c r="D1074" t="s">
        <v>866</v>
      </c>
      <c r="F1074">
        <v>301752</v>
      </c>
      <c r="J1074">
        <v>1</v>
      </c>
      <c r="L1074" t="s">
        <v>876</v>
      </c>
      <c r="M1074" t="s">
        <v>876</v>
      </c>
      <c r="N1074" t="s">
        <v>876</v>
      </c>
      <c r="O1074" t="s">
        <v>876</v>
      </c>
      <c r="P1074" t="s">
        <v>876</v>
      </c>
    </row>
    <row r="1075" spans="1:25" x14ac:dyDescent="0.2">
      <c r="A1075" s="60" t="s">
        <v>1545</v>
      </c>
      <c r="B1075" t="s">
        <v>5024</v>
      </c>
      <c r="C1075" t="s">
        <v>5025</v>
      </c>
      <c r="D1075" t="s">
        <v>866</v>
      </c>
      <c r="F1075">
        <v>301753</v>
      </c>
      <c r="J1075">
        <v>1</v>
      </c>
      <c r="L1075" t="s">
        <v>876</v>
      </c>
      <c r="M1075" t="s">
        <v>876</v>
      </c>
      <c r="N1075" t="s">
        <v>876</v>
      </c>
      <c r="O1075" t="s">
        <v>876</v>
      </c>
      <c r="P1075" t="s">
        <v>876</v>
      </c>
    </row>
    <row r="1076" spans="1:25" x14ac:dyDescent="0.2">
      <c r="A1076" s="60" t="s">
        <v>5026</v>
      </c>
      <c r="B1076" t="s">
        <v>5027</v>
      </c>
      <c r="C1076" t="s">
        <v>5028</v>
      </c>
      <c r="D1076" t="s">
        <v>1375</v>
      </c>
      <c r="F1076">
        <v>301754</v>
      </c>
      <c r="J1076">
        <v>1</v>
      </c>
      <c r="L1076" t="s">
        <v>876</v>
      </c>
      <c r="M1076" t="s">
        <v>876</v>
      </c>
      <c r="N1076" t="s">
        <v>876</v>
      </c>
      <c r="O1076" t="s">
        <v>876</v>
      </c>
      <c r="P1076" t="s">
        <v>876</v>
      </c>
    </row>
    <row r="1077" spans="1:25" x14ac:dyDescent="0.2">
      <c r="A1077" s="60" t="s">
        <v>5029</v>
      </c>
      <c r="B1077" t="s">
        <v>5030</v>
      </c>
      <c r="C1077" t="s">
        <v>5031</v>
      </c>
      <c r="D1077" t="s">
        <v>866</v>
      </c>
      <c r="F1077">
        <v>301755</v>
      </c>
      <c r="J1077">
        <v>1</v>
      </c>
      <c r="L1077" t="s">
        <v>876</v>
      </c>
      <c r="M1077" t="s">
        <v>876</v>
      </c>
      <c r="N1077" t="s">
        <v>876</v>
      </c>
      <c r="O1077" t="s">
        <v>876</v>
      </c>
      <c r="P1077" t="s">
        <v>876</v>
      </c>
    </row>
    <row r="1078" spans="1:25" x14ac:dyDescent="0.2">
      <c r="A1078" s="60" t="s">
        <v>5032</v>
      </c>
      <c r="B1078" t="s">
        <v>5033</v>
      </c>
      <c r="C1078" t="s">
        <v>5034</v>
      </c>
      <c r="D1078" t="s">
        <v>1375</v>
      </c>
      <c r="F1078">
        <v>301756</v>
      </c>
      <c r="J1078">
        <v>1</v>
      </c>
      <c r="L1078" t="s">
        <v>876</v>
      </c>
      <c r="M1078" t="s">
        <v>876</v>
      </c>
      <c r="N1078" t="s">
        <v>876</v>
      </c>
      <c r="O1078" t="s">
        <v>876</v>
      </c>
      <c r="P1078" t="s">
        <v>876</v>
      </c>
    </row>
    <row r="1079" spans="1:25" x14ac:dyDescent="0.2">
      <c r="A1079" s="60" t="s">
        <v>5035</v>
      </c>
      <c r="B1079" t="s">
        <v>5036</v>
      </c>
      <c r="C1079" t="s">
        <v>5037</v>
      </c>
      <c r="D1079" t="s">
        <v>866</v>
      </c>
      <c r="F1079">
        <v>301757</v>
      </c>
      <c r="J1079">
        <v>1</v>
      </c>
      <c r="L1079" t="s">
        <v>876</v>
      </c>
      <c r="M1079" t="s">
        <v>876</v>
      </c>
      <c r="N1079" t="s">
        <v>876</v>
      </c>
      <c r="O1079" t="s">
        <v>876</v>
      </c>
      <c r="P1079" t="s">
        <v>876</v>
      </c>
    </row>
    <row r="1080" spans="1:25" x14ac:dyDescent="0.2">
      <c r="A1080" s="60" t="s">
        <v>1041</v>
      </c>
      <c r="B1080" t="s">
        <v>5038</v>
      </c>
      <c r="C1080" t="s">
        <v>5039</v>
      </c>
      <c r="D1080" t="s">
        <v>1375</v>
      </c>
      <c r="F1080">
        <v>301758</v>
      </c>
      <c r="J1080">
        <v>1</v>
      </c>
      <c r="L1080" t="s">
        <v>876</v>
      </c>
      <c r="M1080" t="s">
        <v>876</v>
      </c>
      <c r="N1080" t="s">
        <v>876</v>
      </c>
      <c r="O1080" t="s">
        <v>876</v>
      </c>
      <c r="P1080" t="s">
        <v>876</v>
      </c>
    </row>
    <row r="1081" spans="1:25" x14ac:dyDescent="0.2">
      <c r="A1081" s="60" t="s">
        <v>696</v>
      </c>
      <c r="B1081" t="s">
        <v>5040</v>
      </c>
      <c r="C1081" t="s">
        <v>5041</v>
      </c>
      <c r="D1081" t="s">
        <v>1375</v>
      </c>
      <c r="F1081">
        <v>301769</v>
      </c>
      <c r="J1081">
        <v>1</v>
      </c>
      <c r="L1081" t="s">
        <v>876</v>
      </c>
      <c r="M1081" t="s">
        <v>876</v>
      </c>
      <c r="N1081" t="s">
        <v>876</v>
      </c>
      <c r="O1081" t="s">
        <v>876</v>
      </c>
      <c r="P1081" t="s">
        <v>876</v>
      </c>
    </row>
    <row r="1082" spans="1:25" x14ac:dyDescent="0.2">
      <c r="A1082" s="60" t="s">
        <v>780</v>
      </c>
      <c r="B1082" t="s">
        <v>5042</v>
      </c>
      <c r="C1082" t="s">
        <v>5043</v>
      </c>
      <c r="D1082" t="s">
        <v>1375</v>
      </c>
      <c r="F1082">
        <v>301770</v>
      </c>
      <c r="J1082">
        <v>1</v>
      </c>
      <c r="L1082" t="s">
        <v>876</v>
      </c>
      <c r="M1082" t="s">
        <v>876</v>
      </c>
      <c r="N1082" t="s">
        <v>876</v>
      </c>
      <c r="O1082" t="s">
        <v>876</v>
      </c>
      <c r="P1082" t="s">
        <v>876</v>
      </c>
    </row>
    <row r="1083" spans="1:25" x14ac:dyDescent="0.2">
      <c r="A1083" s="60" t="s">
        <v>824</v>
      </c>
      <c r="B1083" t="s">
        <v>5044</v>
      </c>
      <c r="C1083" t="s">
        <v>5045</v>
      </c>
      <c r="D1083" t="s">
        <v>1375</v>
      </c>
      <c r="F1083">
        <v>301771</v>
      </c>
      <c r="J1083">
        <v>1</v>
      </c>
      <c r="L1083" t="s">
        <v>876</v>
      </c>
      <c r="M1083" t="s">
        <v>876</v>
      </c>
      <c r="N1083" t="s">
        <v>876</v>
      </c>
      <c r="O1083" t="s">
        <v>876</v>
      </c>
      <c r="P1083" t="s">
        <v>876</v>
      </c>
    </row>
    <row r="1084" spans="1:25" x14ac:dyDescent="0.2">
      <c r="A1084" s="60" t="s">
        <v>699</v>
      </c>
      <c r="B1084" t="s">
        <v>5046</v>
      </c>
      <c r="C1084" t="s">
        <v>4003</v>
      </c>
      <c r="D1084" t="s">
        <v>1297</v>
      </c>
      <c r="F1084">
        <v>301772</v>
      </c>
      <c r="J1084">
        <v>1</v>
      </c>
      <c r="L1084" t="s">
        <v>4004</v>
      </c>
      <c r="M1084" t="s">
        <v>923</v>
      </c>
      <c r="N1084" t="s">
        <v>876</v>
      </c>
      <c r="O1084" t="s">
        <v>1032</v>
      </c>
      <c r="P1084" t="s">
        <v>1033</v>
      </c>
      <c r="X1084" s="126"/>
      <c r="Y1084" s="126"/>
    </row>
    <row r="1085" spans="1:25" x14ac:dyDescent="0.2">
      <c r="A1085" s="60" t="s">
        <v>702</v>
      </c>
      <c r="B1085" t="s">
        <v>5047</v>
      </c>
      <c r="C1085" t="s">
        <v>4003</v>
      </c>
      <c r="D1085" t="s">
        <v>1297</v>
      </c>
      <c r="F1085">
        <v>301773</v>
      </c>
      <c r="J1085">
        <v>1</v>
      </c>
      <c r="L1085" t="s">
        <v>4004</v>
      </c>
      <c r="M1085" t="s">
        <v>923</v>
      </c>
      <c r="N1085" t="s">
        <v>876</v>
      </c>
      <c r="O1085" t="s">
        <v>1032</v>
      </c>
      <c r="P1085" t="s">
        <v>1033</v>
      </c>
    </row>
    <row r="1086" spans="1:25" x14ac:dyDescent="0.2">
      <c r="A1086" s="60" t="s">
        <v>765</v>
      </c>
      <c r="B1086" t="s">
        <v>5048</v>
      </c>
      <c r="C1086" t="s">
        <v>4003</v>
      </c>
      <c r="D1086" t="s">
        <v>1297</v>
      </c>
      <c r="F1086">
        <v>301774</v>
      </c>
      <c r="J1086">
        <v>1</v>
      </c>
      <c r="L1086" t="s">
        <v>4004</v>
      </c>
      <c r="M1086" t="s">
        <v>923</v>
      </c>
      <c r="N1086" t="s">
        <v>876</v>
      </c>
      <c r="O1086" t="s">
        <v>1032</v>
      </c>
      <c r="P1086" t="s">
        <v>1033</v>
      </c>
      <c r="T1086">
        <v>10000</v>
      </c>
      <c r="U1086" t="s">
        <v>0</v>
      </c>
      <c r="V1086">
        <v>10000</v>
      </c>
      <c r="W1086" t="s">
        <v>0</v>
      </c>
      <c r="X1086">
        <v>0.11249932329913423</v>
      </c>
      <c r="Y1086">
        <v>0.37530213363285075</v>
      </c>
    </row>
    <row r="1087" spans="1:25" x14ac:dyDescent="0.2">
      <c r="A1087" s="60" t="s">
        <v>5049</v>
      </c>
      <c r="B1087" t="s">
        <v>5050</v>
      </c>
      <c r="C1087" t="s">
        <v>5051</v>
      </c>
      <c r="D1087" t="s">
        <v>1375</v>
      </c>
      <c r="F1087">
        <v>301775</v>
      </c>
      <c r="J1087">
        <v>1</v>
      </c>
      <c r="L1087" t="s">
        <v>876</v>
      </c>
      <c r="M1087" t="s">
        <v>876</v>
      </c>
      <c r="N1087" t="s">
        <v>876</v>
      </c>
      <c r="O1087" t="s">
        <v>876</v>
      </c>
      <c r="P1087" t="s">
        <v>876</v>
      </c>
    </row>
    <row r="1088" spans="1:25" x14ac:dyDescent="0.2">
      <c r="A1088" s="60" t="s">
        <v>705</v>
      </c>
      <c r="B1088" t="s">
        <v>5052</v>
      </c>
      <c r="C1088" t="s">
        <v>5053</v>
      </c>
      <c r="D1088" t="s">
        <v>1375</v>
      </c>
      <c r="F1088">
        <v>301776</v>
      </c>
      <c r="J1088">
        <v>1</v>
      </c>
      <c r="L1088" t="s">
        <v>876</v>
      </c>
      <c r="M1088" t="s">
        <v>876</v>
      </c>
      <c r="N1088" t="s">
        <v>876</v>
      </c>
      <c r="O1088" t="s">
        <v>876</v>
      </c>
      <c r="P1088" t="s">
        <v>876</v>
      </c>
    </row>
    <row r="1089" spans="1:16" x14ac:dyDescent="0.2">
      <c r="A1089" s="60" t="s">
        <v>5054</v>
      </c>
      <c r="B1089" t="s">
        <v>5055</v>
      </c>
      <c r="C1089" t="s">
        <v>5056</v>
      </c>
      <c r="D1089" t="s">
        <v>1375</v>
      </c>
      <c r="F1089">
        <v>301777</v>
      </c>
      <c r="J1089">
        <v>1</v>
      </c>
      <c r="L1089" t="s">
        <v>876</v>
      </c>
      <c r="M1089" t="s">
        <v>876</v>
      </c>
      <c r="N1089" t="s">
        <v>876</v>
      </c>
      <c r="O1089" t="s">
        <v>876</v>
      </c>
      <c r="P1089" t="s">
        <v>876</v>
      </c>
    </row>
    <row r="1090" spans="1:16" x14ac:dyDescent="0.2">
      <c r="A1090" s="60" t="s">
        <v>5057</v>
      </c>
      <c r="B1090" t="s">
        <v>5058</v>
      </c>
      <c r="C1090" t="s">
        <v>5059</v>
      </c>
      <c r="D1090" t="s">
        <v>866</v>
      </c>
      <c r="F1090">
        <v>301778</v>
      </c>
      <c r="J1090">
        <v>1</v>
      </c>
      <c r="L1090" t="s">
        <v>876</v>
      </c>
      <c r="M1090" t="s">
        <v>876</v>
      </c>
      <c r="N1090" t="s">
        <v>876</v>
      </c>
      <c r="O1090" t="s">
        <v>876</v>
      </c>
      <c r="P1090" t="s">
        <v>876</v>
      </c>
    </row>
    <row r="1091" spans="1:16" x14ac:dyDescent="0.2">
      <c r="A1091" s="60" t="s">
        <v>3068</v>
      </c>
      <c r="B1091" t="s">
        <v>5060</v>
      </c>
      <c r="C1091" t="s">
        <v>5061</v>
      </c>
      <c r="D1091" t="s">
        <v>1375</v>
      </c>
      <c r="F1091">
        <v>301779</v>
      </c>
      <c r="J1091">
        <v>1</v>
      </c>
      <c r="L1091" t="s">
        <v>876</v>
      </c>
      <c r="M1091" t="s">
        <v>876</v>
      </c>
      <c r="N1091" t="s">
        <v>876</v>
      </c>
      <c r="O1091" t="s">
        <v>876</v>
      </c>
      <c r="P1091" t="s">
        <v>876</v>
      </c>
    </row>
    <row r="1092" spans="1:16" x14ac:dyDescent="0.2">
      <c r="A1092" s="60" t="s">
        <v>5062</v>
      </c>
      <c r="B1092" t="s">
        <v>5063</v>
      </c>
      <c r="C1092" t="s">
        <v>5064</v>
      </c>
      <c r="D1092" t="s">
        <v>1375</v>
      </c>
      <c r="F1092">
        <v>301780</v>
      </c>
      <c r="J1092">
        <v>1</v>
      </c>
      <c r="L1092" t="s">
        <v>876</v>
      </c>
      <c r="M1092" t="s">
        <v>876</v>
      </c>
      <c r="N1092" t="s">
        <v>876</v>
      </c>
      <c r="O1092" t="s">
        <v>876</v>
      </c>
      <c r="P1092" t="s">
        <v>876</v>
      </c>
    </row>
    <row r="1093" spans="1:16" x14ac:dyDescent="0.2">
      <c r="A1093" s="60" t="s">
        <v>1551</v>
      </c>
      <c r="B1093" t="s">
        <v>5065</v>
      </c>
      <c r="C1093" t="s">
        <v>5066</v>
      </c>
      <c r="D1093" t="s">
        <v>866</v>
      </c>
      <c r="F1093">
        <v>301781</v>
      </c>
      <c r="J1093">
        <v>1</v>
      </c>
      <c r="L1093" t="s">
        <v>876</v>
      </c>
      <c r="M1093" t="s">
        <v>876</v>
      </c>
      <c r="N1093" t="s">
        <v>876</v>
      </c>
      <c r="O1093" t="s">
        <v>876</v>
      </c>
      <c r="P1093" t="s">
        <v>876</v>
      </c>
    </row>
    <row r="1094" spans="1:16" x14ac:dyDescent="0.2">
      <c r="A1094" s="60" t="s">
        <v>5067</v>
      </c>
      <c r="B1094" t="s">
        <v>5068</v>
      </c>
      <c r="C1094" t="s">
        <v>5069</v>
      </c>
      <c r="D1094" t="s">
        <v>1375</v>
      </c>
      <c r="F1094">
        <v>301782</v>
      </c>
      <c r="J1094">
        <v>1</v>
      </c>
      <c r="L1094" t="s">
        <v>876</v>
      </c>
      <c r="M1094" t="s">
        <v>876</v>
      </c>
      <c r="N1094" t="s">
        <v>876</v>
      </c>
      <c r="O1094" t="s">
        <v>876</v>
      </c>
      <c r="P1094" t="s">
        <v>876</v>
      </c>
    </row>
    <row r="1095" spans="1:16" x14ac:dyDescent="0.2">
      <c r="A1095" s="60" t="s">
        <v>5070</v>
      </c>
      <c r="B1095" t="s">
        <v>5071</v>
      </c>
      <c r="C1095" t="s">
        <v>5072</v>
      </c>
      <c r="D1095" t="s">
        <v>1375</v>
      </c>
      <c r="F1095">
        <v>301783</v>
      </c>
      <c r="J1095">
        <v>1</v>
      </c>
      <c r="L1095" t="s">
        <v>876</v>
      </c>
      <c r="M1095" t="s">
        <v>876</v>
      </c>
      <c r="N1095" t="s">
        <v>876</v>
      </c>
      <c r="O1095" t="s">
        <v>876</v>
      </c>
      <c r="P1095" t="s">
        <v>876</v>
      </c>
    </row>
    <row r="1096" spans="1:16" x14ac:dyDescent="0.2">
      <c r="A1096" s="60" t="s">
        <v>5073</v>
      </c>
      <c r="B1096" t="s">
        <v>5074</v>
      </c>
      <c r="C1096" t="s">
        <v>5075</v>
      </c>
      <c r="D1096" t="s">
        <v>866</v>
      </c>
      <c r="F1096">
        <v>301784</v>
      </c>
      <c r="J1096">
        <v>1</v>
      </c>
      <c r="L1096" t="s">
        <v>876</v>
      </c>
      <c r="M1096" t="s">
        <v>876</v>
      </c>
      <c r="N1096" t="s">
        <v>876</v>
      </c>
      <c r="O1096" t="s">
        <v>876</v>
      </c>
      <c r="P1096" t="s">
        <v>876</v>
      </c>
    </row>
    <row r="1097" spans="1:16" x14ac:dyDescent="0.2">
      <c r="A1097" s="60" t="s">
        <v>1561</v>
      </c>
      <c r="B1097" t="s">
        <v>5076</v>
      </c>
      <c r="C1097" t="s">
        <v>5077</v>
      </c>
      <c r="D1097" t="s">
        <v>866</v>
      </c>
      <c r="F1097">
        <v>301785</v>
      </c>
      <c r="J1097">
        <v>1</v>
      </c>
      <c r="L1097" t="s">
        <v>876</v>
      </c>
      <c r="M1097" t="s">
        <v>876</v>
      </c>
      <c r="N1097" t="s">
        <v>876</v>
      </c>
      <c r="O1097" t="s">
        <v>876</v>
      </c>
      <c r="P1097" t="s">
        <v>876</v>
      </c>
    </row>
    <row r="1098" spans="1:16" x14ac:dyDescent="0.2">
      <c r="A1098" s="60" t="s">
        <v>5078</v>
      </c>
      <c r="B1098" t="s">
        <v>5079</v>
      </c>
      <c r="C1098" t="s">
        <v>5080</v>
      </c>
      <c r="D1098" t="s">
        <v>1514</v>
      </c>
      <c r="F1098">
        <v>301786</v>
      </c>
      <c r="J1098">
        <v>1</v>
      </c>
      <c r="L1098" t="s">
        <v>876</v>
      </c>
      <c r="M1098" t="s">
        <v>876</v>
      </c>
      <c r="N1098" t="s">
        <v>876</v>
      </c>
      <c r="O1098" t="s">
        <v>876</v>
      </c>
      <c r="P1098" t="s">
        <v>876</v>
      </c>
    </row>
    <row r="1099" spans="1:16" x14ac:dyDescent="0.2">
      <c r="A1099" s="60" t="s">
        <v>5081</v>
      </c>
      <c r="B1099" t="s">
        <v>5082</v>
      </c>
      <c r="C1099" t="s">
        <v>5083</v>
      </c>
      <c r="D1099" t="s">
        <v>1517</v>
      </c>
      <c r="F1099">
        <v>301787</v>
      </c>
      <c r="J1099">
        <v>1</v>
      </c>
      <c r="L1099" t="s">
        <v>876</v>
      </c>
      <c r="M1099" t="s">
        <v>876</v>
      </c>
      <c r="N1099" t="s">
        <v>876</v>
      </c>
      <c r="O1099" t="s">
        <v>876</v>
      </c>
      <c r="P1099" t="s">
        <v>876</v>
      </c>
    </row>
    <row r="1100" spans="1:16" x14ac:dyDescent="0.2">
      <c r="A1100" s="60" t="s">
        <v>5084</v>
      </c>
      <c r="B1100" t="s">
        <v>5085</v>
      </c>
      <c r="C1100" t="s">
        <v>5086</v>
      </c>
      <c r="D1100" t="s">
        <v>1517</v>
      </c>
      <c r="F1100">
        <v>301788</v>
      </c>
      <c r="J1100">
        <v>1</v>
      </c>
      <c r="L1100" t="s">
        <v>876</v>
      </c>
      <c r="M1100" t="s">
        <v>876</v>
      </c>
      <c r="N1100" t="s">
        <v>876</v>
      </c>
      <c r="O1100" t="s">
        <v>876</v>
      </c>
      <c r="P1100" t="s">
        <v>876</v>
      </c>
    </row>
    <row r="1101" spans="1:16" x14ac:dyDescent="0.2">
      <c r="A1101" s="60" t="s">
        <v>5087</v>
      </c>
      <c r="B1101" t="s">
        <v>5088</v>
      </c>
      <c r="C1101" t="s">
        <v>5089</v>
      </c>
      <c r="D1101" t="s">
        <v>1375</v>
      </c>
      <c r="F1101">
        <v>301789</v>
      </c>
      <c r="J1101">
        <v>1</v>
      </c>
      <c r="L1101" t="s">
        <v>876</v>
      </c>
      <c r="M1101" t="s">
        <v>876</v>
      </c>
      <c r="N1101" t="s">
        <v>876</v>
      </c>
      <c r="O1101" t="s">
        <v>876</v>
      </c>
      <c r="P1101" t="s">
        <v>876</v>
      </c>
    </row>
    <row r="1102" spans="1:16" x14ac:dyDescent="0.2">
      <c r="A1102" s="60" t="s">
        <v>5090</v>
      </c>
      <c r="B1102" t="s">
        <v>5091</v>
      </c>
      <c r="C1102" t="s">
        <v>5092</v>
      </c>
      <c r="D1102" t="s">
        <v>1375</v>
      </c>
      <c r="F1102">
        <v>301790</v>
      </c>
      <c r="J1102">
        <v>1</v>
      </c>
      <c r="L1102" t="s">
        <v>876</v>
      </c>
      <c r="M1102" t="s">
        <v>876</v>
      </c>
      <c r="N1102" t="s">
        <v>876</v>
      </c>
      <c r="O1102" t="s">
        <v>876</v>
      </c>
      <c r="P1102" t="s">
        <v>876</v>
      </c>
    </row>
    <row r="1103" spans="1:16" x14ac:dyDescent="0.2">
      <c r="A1103" s="60" t="s">
        <v>5093</v>
      </c>
      <c r="B1103" t="s">
        <v>5094</v>
      </c>
      <c r="C1103" t="s">
        <v>5095</v>
      </c>
      <c r="D1103" t="s">
        <v>866</v>
      </c>
      <c r="F1103">
        <v>301791</v>
      </c>
      <c r="J1103">
        <v>1</v>
      </c>
      <c r="L1103" t="s">
        <v>876</v>
      </c>
      <c r="M1103" t="s">
        <v>876</v>
      </c>
      <c r="N1103" t="s">
        <v>876</v>
      </c>
      <c r="O1103" t="s">
        <v>876</v>
      </c>
      <c r="P1103" t="s">
        <v>876</v>
      </c>
    </row>
    <row r="1104" spans="1:16" x14ac:dyDescent="0.2">
      <c r="A1104" s="60" t="s">
        <v>2224</v>
      </c>
      <c r="B1104" t="s">
        <v>5096</v>
      </c>
      <c r="C1104" t="s">
        <v>5097</v>
      </c>
      <c r="D1104" t="s">
        <v>866</v>
      </c>
      <c r="F1104">
        <v>301792</v>
      </c>
      <c r="J1104">
        <v>1</v>
      </c>
      <c r="L1104" t="s">
        <v>876</v>
      </c>
      <c r="M1104" t="s">
        <v>876</v>
      </c>
      <c r="N1104" t="s">
        <v>876</v>
      </c>
      <c r="O1104" t="s">
        <v>876</v>
      </c>
      <c r="P1104" t="s">
        <v>876</v>
      </c>
    </row>
    <row r="1105" spans="1:25" x14ac:dyDescent="0.2">
      <c r="A1105" s="60" t="s">
        <v>2169</v>
      </c>
      <c r="B1105" t="s">
        <v>5098</v>
      </c>
      <c r="C1105" t="s">
        <v>5099</v>
      </c>
      <c r="D1105" t="s">
        <v>866</v>
      </c>
      <c r="F1105">
        <v>301793</v>
      </c>
      <c r="J1105">
        <v>1</v>
      </c>
      <c r="L1105" t="s">
        <v>876</v>
      </c>
      <c r="M1105" t="s">
        <v>876</v>
      </c>
      <c r="N1105" t="s">
        <v>876</v>
      </c>
      <c r="O1105" t="s">
        <v>876</v>
      </c>
      <c r="P1105" t="s">
        <v>876</v>
      </c>
    </row>
    <row r="1106" spans="1:25" x14ac:dyDescent="0.2">
      <c r="A1106" s="60" t="s">
        <v>5100</v>
      </c>
      <c r="B1106" t="s">
        <v>5101</v>
      </c>
      <c r="C1106" t="s">
        <v>5102</v>
      </c>
      <c r="D1106" t="s">
        <v>1375</v>
      </c>
      <c r="F1106">
        <v>301794</v>
      </c>
      <c r="J1106">
        <v>1</v>
      </c>
      <c r="L1106" t="s">
        <v>876</v>
      </c>
      <c r="M1106" t="s">
        <v>876</v>
      </c>
      <c r="N1106" t="s">
        <v>876</v>
      </c>
      <c r="O1106" t="s">
        <v>876</v>
      </c>
      <c r="P1106" t="s">
        <v>876</v>
      </c>
    </row>
    <row r="1107" spans="1:25" x14ac:dyDescent="0.2">
      <c r="A1107" s="60" t="s">
        <v>5103</v>
      </c>
      <c r="B1107" t="s">
        <v>5104</v>
      </c>
      <c r="C1107" t="s">
        <v>5105</v>
      </c>
      <c r="D1107" t="s">
        <v>1375</v>
      </c>
      <c r="F1107">
        <v>301795</v>
      </c>
      <c r="J1107">
        <v>1</v>
      </c>
      <c r="L1107" t="s">
        <v>876</v>
      </c>
      <c r="M1107" t="s">
        <v>876</v>
      </c>
      <c r="N1107" t="s">
        <v>876</v>
      </c>
      <c r="O1107" t="s">
        <v>876</v>
      </c>
      <c r="P1107" t="s">
        <v>876</v>
      </c>
    </row>
    <row r="1108" spans="1:25" x14ac:dyDescent="0.2">
      <c r="A1108" s="60" t="s">
        <v>5106</v>
      </c>
      <c r="B1108" t="s">
        <v>5107</v>
      </c>
      <c r="C1108" t="s">
        <v>5108</v>
      </c>
      <c r="D1108" t="s">
        <v>1375</v>
      </c>
      <c r="F1108">
        <v>301796</v>
      </c>
      <c r="J1108">
        <v>1</v>
      </c>
      <c r="L1108" t="s">
        <v>876</v>
      </c>
      <c r="M1108" t="s">
        <v>876</v>
      </c>
      <c r="N1108" t="s">
        <v>876</v>
      </c>
      <c r="O1108" t="s">
        <v>876</v>
      </c>
      <c r="P1108" t="s">
        <v>876</v>
      </c>
    </row>
    <row r="1109" spans="1:25" x14ac:dyDescent="0.2">
      <c r="A1109" s="60" t="s">
        <v>5109</v>
      </c>
      <c r="B1109" t="s">
        <v>5110</v>
      </c>
      <c r="C1109" t="s">
        <v>5111</v>
      </c>
      <c r="D1109" t="s">
        <v>866</v>
      </c>
      <c r="F1109">
        <v>301797</v>
      </c>
      <c r="J1109">
        <v>1</v>
      </c>
      <c r="L1109" t="s">
        <v>876</v>
      </c>
      <c r="M1109" t="s">
        <v>876</v>
      </c>
      <c r="N1109" t="s">
        <v>876</v>
      </c>
      <c r="O1109" t="s">
        <v>876</v>
      </c>
      <c r="P1109" t="s">
        <v>876</v>
      </c>
    </row>
    <row r="1110" spans="1:25" x14ac:dyDescent="0.2">
      <c r="A1110" s="60" t="s">
        <v>5112</v>
      </c>
      <c r="B1110" t="s">
        <v>5113</v>
      </c>
      <c r="C1110" t="s">
        <v>5114</v>
      </c>
      <c r="D1110" t="s">
        <v>1517</v>
      </c>
      <c r="F1110">
        <v>301798</v>
      </c>
      <c r="J1110">
        <v>1</v>
      </c>
      <c r="L1110" t="s">
        <v>876</v>
      </c>
      <c r="M1110" t="s">
        <v>876</v>
      </c>
      <c r="N1110" t="s">
        <v>876</v>
      </c>
      <c r="O1110" t="s">
        <v>876</v>
      </c>
      <c r="P1110" t="s">
        <v>876</v>
      </c>
    </row>
    <row r="1111" spans="1:25" x14ac:dyDescent="0.2">
      <c r="A1111" s="60" t="s">
        <v>5115</v>
      </c>
      <c r="B1111" t="s">
        <v>5116</v>
      </c>
      <c r="C1111" t="s">
        <v>5117</v>
      </c>
      <c r="D1111" t="s">
        <v>1375</v>
      </c>
      <c r="F1111">
        <v>301799</v>
      </c>
      <c r="J1111">
        <v>1</v>
      </c>
      <c r="L1111" t="s">
        <v>876</v>
      </c>
      <c r="M1111" t="s">
        <v>876</v>
      </c>
      <c r="N1111" t="s">
        <v>876</v>
      </c>
      <c r="O1111" t="s">
        <v>876</v>
      </c>
      <c r="P1111" t="s">
        <v>876</v>
      </c>
    </row>
    <row r="1112" spans="1:25" x14ac:dyDescent="0.2">
      <c r="A1112" s="60" t="s">
        <v>5118</v>
      </c>
      <c r="B1112" t="s">
        <v>5119</v>
      </c>
      <c r="C1112" t="s">
        <v>5120</v>
      </c>
      <c r="D1112" t="s">
        <v>1375</v>
      </c>
      <c r="F1112">
        <v>301800</v>
      </c>
      <c r="J1112">
        <v>1</v>
      </c>
      <c r="L1112" t="s">
        <v>876</v>
      </c>
      <c r="M1112" t="s">
        <v>876</v>
      </c>
      <c r="N1112" t="s">
        <v>876</v>
      </c>
      <c r="O1112" t="s">
        <v>876</v>
      </c>
      <c r="P1112" t="s">
        <v>876</v>
      </c>
    </row>
    <row r="1113" spans="1:25" x14ac:dyDescent="0.2">
      <c r="A1113" s="60" t="s">
        <v>5121</v>
      </c>
      <c r="B1113" t="s">
        <v>5122</v>
      </c>
      <c r="C1113" t="s">
        <v>5123</v>
      </c>
      <c r="D1113" t="s">
        <v>5124</v>
      </c>
      <c r="F1113">
        <v>301831</v>
      </c>
      <c r="J1113">
        <v>1</v>
      </c>
      <c r="L1113" t="s">
        <v>876</v>
      </c>
      <c r="M1113" t="s">
        <v>876</v>
      </c>
      <c r="N1113" t="s">
        <v>876</v>
      </c>
      <c r="O1113" t="s">
        <v>876</v>
      </c>
      <c r="P1113" t="s">
        <v>876</v>
      </c>
    </row>
    <row r="1114" spans="1:25" x14ac:dyDescent="0.2">
      <c r="A1114" s="60" t="s">
        <v>5125</v>
      </c>
      <c r="B1114" t="s">
        <v>5126</v>
      </c>
      <c r="C1114" t="s">
        <v>5127</v>
      </c>
      <c r="D1114" t="s">
        <v>1517</v>
      </c>
      <c r="F1114">
        <v>301832</v>
      </c>
      <c r="J1114">
        <v>1</v>
      </c>
      <c r="L1114" t="s">
        <v>876</v>
      </c>
      <c r="M1114" t="s">
        <v>876</v>
      </c>
      <c r="N1114" t="s">
        <v>876</v>
      </c>
      <c r="O1114" t="s">
        <v>876</v>
      </c>
      <c r="P1114" t="s">
        <v>876</v>
      </c>
    </row>
    <row r="1115" spans="1:25" x14ac:dyDescent="0.2">
      <c r="A1115" s="60" t="s">
        <v>5128</v>
      </c>
      <c r="B1115" t="s">
        <v>5129</v>
      </c>
      <c r="C1115" t="s">
        <v>5130</v>
      </c>
      <c r="D1115" t="s">
        <v>5124</v>
      </c>
      <c r="F1115">
        <v>301833</v>
      </c>
      <c r="J1115">
        <v>1</v>
      </c>
      <c r="L1115" t="s">
        <v>876</v>
      </c>
      <c r="M1115" t="s">
        <v>876</v>
      </c>
      <c r="N1115" t="s">
        <v>876</v>
      </c>
      <c r="O1115" t="s">
        <v>876</v>
      </c>
      <c r="P1115" t="s">
        <v>876</v>
      </c>
    </row>
    <row r="1116" spans="1:25" x14ac:dyDescent="0.2">
      <c r="A1116" s="60" t="s">
        <v>5131</v>
      </c>
      <c r="B1116" t="s">
        <v>5132</v>
      </c>
      <c r="C1116" t="s">
        <v>5133</v>
      </c>
      <c r="D1116" t="s">
        <v>2438</v>
      </c>
      <c r="F1116">
        <v>302066</v>
      </c>
      <c r="J1116">
        <v>1</v>
      </c>
      <c r="L1116" t="s">
        <v>876</v>
      </c>
      <c r="M1116" t="s">
        <v>876</v>
      </c>
      <c r="N1116" t="s">
        <v>876</v>
      </c>
      <c r="O1116" t="s">
        <v>876</v>
      </c>
      <c r="P1116" t="s">
        <v>876</v>
      </c>
    </row>
    <row r="1117" spans="1:25" x14ac:dyDescent="0.2">
      <c r="A1117" s="60" t="s">
        <v>2199</v>
      </c>
      <c r="B1117" t="s">
        <v>5134</v>
      </c>
      <c r="C1117" t="s">
        <v>5135</v>
      </c>
      <c r="D1117" t="s">
        <v>2438</v>
      </c>
      <c r="F1117">
        <v>302067</v>
      </c>
      <c r="J1117">
        <v>1</v>
      </c>
      <c r="L1117" t="s">
        <v>876</v>
      </c>
      <c r="M1117" t="s">
        <v>876</v>
      </c>
      <c r="N1117" t="s">
        <v>876</v>
      </c>
      <c r="O1117" t="s">
        <v>876</v>
      </c>
      <c r="P1117" t="s">
        <v>876</v>
      </c>
    </row>
    <row r="1118" spans="1:25" x14ac:dyDescent="0.2">
      <c r="A1118" s="60" t="s">
        <v>5136</v>
      </c>
      <c r="B1118" t="s">
        <v>5137</v>
      </c>
      <c r="C1118" t="s">
        <v>5138</v>
      </c>
      <c r="D1118" t="s">
        <v>2152</v>
      </c>
      <c r="F1118">
        <v>302068</v>
      </c>
      <c r="J1118">
        <v>1</v>
      </c>
      <c r="L1118" t="s">
        <v>5139</v>
      </c>
      <c r="M1118" t="s">
        <v>5140</v>
      </c>
      <c r="N1118" t="s">
        <v>876</v>
      </c>
      <c r="O1118" t="s">
        <v>1032</v>
      </c>
      <c r="P1118" t="s">
        <v>1033</v>
      </c>
      <c r="T1118" t="s">
        <v>0</v>
      </c>
      <c r="U1118" t="s">
        <v>0</v>
      </c>
      <c r="V1118" t="s">
        <v>0</v>
      </c>
      <c r="W1118" t="s">
        <v>0</v>
      </c>
      <c r="X1118">
        <v>0.20125762567213609</v>
      </c>
      <c r="Y1118">
        <v>0.2075470415445074</v>
      </c>
    </row>
    <row r="1119" spans="1:25" x14ac:dyDescent="0.2">
      <c r="A1119" s="60" t="s">
        <v>5141</v>
      </c>
      <c r="B1119" t="s">
        <v>5142</v>
      </c>
      <c r="C1119" t="s">
        <v>5143</v>
      </c>
      <c r="D1119" t="s">
        <v>2438</v>
      </c>
      <c r="F1119">
        <v>302069</v>
      </c>
      <c r="J1119">
        <v>1</v>
      </c>
      <c r="L1119" t="s">
        <v>876</v>
      </c>
      <c r="M1119" t="s">
        <v>876</v>
      </c>
      <c r="N1119" t="s">
        <v>876</v>
      </c>
      <c r="O1119" t="s">
        <v>876</v>
      </c>
      <c r="P1119" t="s">
        <v>876</v>
      </c>
    </row>
    <row r="1120" spans="1:25" x14ac:dyDescent="0.2">
      <c r="A1120" s="60" t="s">
        <v>5144</v>
      </c>
      <c r="B1120" t="s">
        <v>5145</v>
      </c>
      <c r="C1120" t="s">
        <v>5146</v>
      </c>
      <c r="D1120" t="s">
        <v>2438</v>
      </c>
      <c r="F1120">
        <v>302070</v>
      </c>
      <c r="J1120">
        <v>1</v>
      </c>
      <c r="L1120" t="s">
        <v>876</v>
      </c>
      <c r="M1120" t="s">
        <v>876</v>
      </c>
      <c r="N1120" t="s">
        <v>876</v>
      </c>
      <c r="O1120" t="s">
        <v>876</v>
      </c>
      <c r="P1120" t="s">
        <v>876</v>
      </c>
    </row>
    <row r="1121" spans="1:25" x14ac:dyDescent="0.2">
      <c r="A1121" s="60" t="s">
        <v>5147</v>
      </c>
      <c r="B1121" t="s">
        <v>5148</v>
      </c>
      <c r="C1121" t="s">
        <v>5149</v>
      </c>
      <c r="D1121" t="s">
        <v>2438</v>
      </c>
      <c r="F1121">
        <v>302071</v>
      </c>
      <c r="J1121">
        <v>1</v>
      </c>
      <c r="L1121" t="s">
        <v>876</v>
      </c>
      <c r="M1121" t="s">
        <v>876</v>
      </c>
      <c r="N1121" t="s">
        <v>876</v>
      </c>
      <c r="O1121" t="s">
        <v>876</v>
      </c>
      <c r="P1121" t="s">
        <v>876</v>
      </c>
    </row>
    <row r="1122" spans="1:25" x14ac:dyDescent="0.2">
      <c r="A1122" s="60" t="s">
        <v>5150</v>
      </c>
      <c r="B1122" t="s">
        <v>5151</v>
      </c>
      <c r="C1122" t="s">
        <v>5152</v>
      </c>
      <c r="D1122" t="s">
        <v>2438</v>
      </c>
      <c r="F1122">
        <v>302072</v>
      </c>
      <c r="J1122">
        <v>1</v>
      </c>
      <c r="L1122" t="s">
        <v>876</v>
      </c>
      <c r="M1122" t="s">
        <v>876</v>
      </c>
      <c r="N1122" t="s">
        <v>876</v>
      </c>
      <c r="O1122" t="s">
        <v>876</v>
      </c>
      <c r="P1122" t="s">
        <v>876</v>
      </c>
    </row>
    <row r="1123" spans="1:25" x14ac:dyDescent="0.2">
      <c r="A1123" s="60" t="s">
        <v>5153</v>
      </c>
      <c r="B1123" t="s">
        <v>5154</v>
      </c>
      <c r="C1123" t="s">
        <v>5155</v>
      </c>
      <c r="D1123" t="s">
        <v>2438</v>
      </c>
      <c r="F1123">
        <v>302073</v>
      </c>
      <c r="J1123">
        <v>1</v>
      </c>
      <c r="L1123" t="s">
        <v>876</v>
      </c>
      <c r="M1123" t="s">
        <v>876</v>
      </c>
      <c r="N1123" t="s">
        <v>876</v>
      </c>
      <c r="O1123" t="s">
        <v>876</v>
      </c>
      <c r="P1123" t="s">
        <v>876</v>
      </c>
    </row>
    <row r="1124" spans="1:25" x14ac:dyDescent="0.2">
      <c r="A1124" s="60" t="s">
        <v>5156</v>
      </c>
      <c r="B1124" t="s">
        <v>5157</v>
      </c>
      <c r="C1124" t="s">
        <v>5158</v>
      </c>
      <c r="D1124" t="s">
        <v>2438</v>
      </c>
      <c r="F1124">
        <v>302074</v>
      </c>
      <c r="J1124">
        <v>1</v>
      </c>
      <c r="L1124" t="s">
        <v>876</v>
      </c>
      <c r="M1124" t="s">
        <v>876</v>
      </c>
      <c r="N1124" t="s">
        <v>876</v>
      </c>
      <c r="O1124" t="s">
        <v>876</v>
      </c>
      <c r="P1124" t="s">
        <v>876</v>
      </c>
    </row>
    <row r="1125" spans="1:25" x14ac:dyDescent="0.2">
      <c r="A1125" s="60" t="s">
        <v>5159</v>
      </c>
      <c r="B1125" t="s">
        <v>5160</v>
      </c>
      <c r="C1125" t="s">
        <v>5161</v>
      </c>
      <c r="D1125" t="s">
        <v>2152</v>
      </c>
      <c r="F1125">
        <v>302075</v>
      </c>
      <c r="J1125">
        <v>1</v>
      </c>
      <c r="L1125" t="s">
        <v>876</v>
      </c>
      <c r="M1125" t="s">
        <v>5162</v>
      </c>
      <c r="N1125" t="s">
        <v>876</v>
      </c>
      <c r="O1125" t="s">
        <v>876</v>
      </c>
      <c r="P1125" t="s">
        <v>876</v>
      </c>
      <c r="T1125">
        <v>107.932316</v>
      </c>
      <c r="U1125">
        <v>63.571636210000001</v>
      </c>
      <c r="V1125">
        <v>786.84405644176741</v>
      </c>
      <c r="W1125">
        <v>95.478755950051038</v>
      </c>
      <c r="X1125">
        <v>9.2585556100315519E-2</v>
      </c>
      <c r="Y1125">
        <v>0.1609420590463731</v>
      </c>
    </row>
    <row r="1126" spans="1:25" x14ac:dyDescent="0.2">
      <c r="A1126" s="60" t="s">
        <v>5163</v>
      </c>
      <c r="B1126" t="s">
        <v>5164</v>
      </c>
      <c r="C1126" t="s">
        <v>5165</v>
      </c>
      <c r="D1126" t="s">
        <v>2438</v>
      </c>
      <c r="F1126">
        <v>302076</v>
      </c>
      <c r="J1126">
        <v>1</v>
      </c>
      <c r="L1126" t="s">
        <v>876</v>
      </c>
      <c r="M1126" t="s">
        <v>876</v>
      </c>
      <c r="N1126" t="s">
        <v>876</v>
      </c>
      <c r="O1126" t="s">
        <v>876</v>
      </c>
      <c r="P1126" t="s">
        <v>876</v>
      </c>
    </row>
    <row r="1127" spans="1:25" x14ac:dyDescent="0.2">
      <c r="A1127" s="60" t="s">
        <v>5166</v>
      </c>
      <c r="B1127" t="s">
        <v>5167</v>
      </c>
      <c r="C1127" t="s">
        <v>5168</v>
      </c>
      <c r="D1127" t="s">
        <v>2438</v>
      </c>
      <c r="F1127">
        <v>302077</v>
      </c>
      <c r="J1127">
        <v>1</v>
      </c>
      <c r="L1127" t="s">
        <v>876</v>
      </c>
      <c r="M1127" t="s">
        <v>876</v>
      </c>
      <c r="N1127" t="s">
        <v>876</v>
      </c>
      <c r="O1127" t="s">
        <v>876</v>
      </c>
      <c r="P1127" t="s">
        <v>876</v>
      </c>
    </row>
    <row r="1128" spans="1:25" x14ac:dyDescent="0.2">
      <c r="A1128" s="60" t="s">
        <v>5169</v>
      </c>
      <c r="B1128" t="s">
        <v>5170</v>
      </c>
      <c r="C1128" t="s">
        <v>5171</v>
      </c>
      <c r="D1128" t="s">
        <v>2438</v>
      </c>
      <c r="F1128">
        <v>302078</v>
      </c>
      <c r="J1128">
        <v>1</v>
      </c>
      <c r="L1128" t="s">
        <v>876</v>
      </c>
      <c r="M1128" t="s">
        <v>876</v>
      </c>
      <c r="N1128" t="s">
        <v>876</v>
      </c>
      <c r="O1128" t="s">
        <v>876</v>
      </c>
      <c r="P1128" t="s">
        <v>876</v>
      </c>
    </row>
    <row r="1129" spans="1:25" x14ac:dyDescent="0.2">
      <c r="A1129" s="60" t="s">
        <v>5172</v>
      </c>
      <c r="B1129" t="s">
        <v>5173</v>
      </c>
      <c r="C1129" t="s">
        <v>5174</v>
      </c>
      <c r="D1129" t="s">
        <v>2438</v>
      </c>
      <c r="F1129">
        <v>302079</v>
      </c>
      <c r="J1129">
        <v>1</v>
      </c>
      <c r="L1129" t="s">
        <v>876</v>
      </c>
      <c r="M1129" t="s">
        <v>876</v>
      </c>
      <c r="N1129" t="s">
        <v>876</v>
      </c>
      <c r="O1129" t="s">
        <v>876</v>
      </c>
      <c r="P1129" t="s">
        <v>876</v>
      </c>
    </row>
    <row r="1130" spans="1:25" x14ac:dyDescent="0.2">
      <c r="A1130" s="60" t="s">
        <v>5175</v>
      </c>
      <c r="B1130" t="s">
        <v>5176</v>
      </c>
      <c r="C1130" t="s">
        <v>5177</v>
      </c>
      <c r="D1130" t="s">
        <v>2438</v>
      </c>
      <c r="F1130">
        <v>302080</v>
      </c>
      <c r="J1130">
        <v>1</v>
      </c>
      <c r="L1130" t="s">
        <v>876</v>
      </c>
      <c r="M1130" t="s">
        <v>876</v>
      </c>
      <c r="N1130" t="s">
        <v>876</v>
      </c>
      <c r="O1130" t="s">
        <v>876</v>
      </c>
      <c r="P1130" t="s">
        <v>876</v>
      </c>
    </row>
    <row r="1131" spans="1:25" x14ac:dyDescent="0.2">
      <c r="A1131" s="60" t="s">
        <v>5178</v>
      </c>
      <c r="B1131" t="s">
        <v>5179</v>
      </c>
      <c r="C1131" t="s">
        <v>5180</v>
      </c>
      <c r="D1131" t="s">
        <v>2438</v>
      </c>
      <c r="F1131">
        <v>302081</v>
      </c>
      <c r="J1131">
        <v>1</v>
      </c>
      <c r="L1131" t="s">
        <v>876</v>
      </c>
      <c r="M1131" t="s">
        <v>876</v>
      </c>
      <c r="N1131" t="s">
        <v>876</v>
      </c>
      <c r="O1131" t="s">
        <v>876</v>
      </c>
      <c r="P1131" t="s">
        <v>876</v>
      </c>
    </row>
    <row r="1132" spans="1:25" x14ac:dyDescent="0.2">
      <c r="A1132" s="60" t="s">
        <v>5181</v>
      </c>
      <c r="B1132" t="s">
        <v>5182</v>
      </c>
      <c r="C1132" t="s">
        <v>5183</v>
      </c>
      <c r="D1132" t="s">
        <v>2438</v>
      </c>
      <c r="F1132">
        <v>302082</v>
      </c>
      <c r="J1132">
        <v>1</v>
      </c>
      <c r="L1132" t="s">
        <v>876</v>
      </c>
      <c r="M1132" t="s">
        <v>876</v>
      </c>
      <c r="N1132" t="s">
        <v>876</v>
      </c>
      <c r="O1132" t="s">
        <v>876</v>
      </c>
      <c r="P1132" t="s">
        <v>876</v>
      </c>
    </row>
    <row r="1133" spans="1:25" x14ac:dyDescent="0.2">
      <c r="A1133" s="60" t="s">
        <v>5184</v>
      </c>
      <c r="B1133" t="s">
        <v>5185</v>
      </c>
      <c r="C1133" t="s">
        <v>5186</v>
      </c>
      <c r="D1133" t="s">
        <v>2438</v>
      </c>
      <c r="F1133">
        <v>302083</v>
      </c>
      <c r="J1133">
        <v>1</v>
      </c>
      <c r="L1133" t="s">
        <v>876</v>
      </c>
      <c r="M1133" t="s">
        <v>876</v>
      </c>
      <c r="N1133" t="s">
        <v>876</v>
      </c>
      <c r="O1133" t="s">
        <v>876</v>
      </c>
      <c r="P1133" t="s">
        <v>876</v>
      </c>
    </row>
    <row r="1134" spans="1:25" x14ac:dyDescent="0.2">
      <c r="A1134" s="60" t="s">
        <v>5187</v>
      </c>
      <c r="B1134" t="s">
        <v>5188</v>
      </c>
      <c r="C1134" t="s">
        <v>5189</v>
      </c>
      <c r="D1134" t="s">
        <v>2438</v>
      </c>
      <c r="F1134">
        <v>302084</v>
      </c>
      <c r="J1134">
        <v>1</v>
      </c>
      <c r="L1134" t="s">
        <v>876</v>
      </c>
      <c r="M1134" t="s">
        <v>876</v>
      </c>
      <c r="N1134" t="s">
        <v>876</v>
      </c>
      <c r="O1134" t="s">
        <v>876</v>
      </c>
      <c r="P1134" t="s">
        <v>876</v>
      </c>
    </row>
    <row r="1135" spans="1:25" x14ac:dyDescent="0.2">
      <c r="A1135" s="60" t="s">
        <v>5190</v>
      </c>
      <c r="B1135" t="s">
        <v>5191</v>
      </c>
      <c r="C1135" t="s">
        <v>5192</v>
      </c>
      <c r="D1135" t="s">
        <v>2438</v>
      </c>
      <c r="F1135">
        <v>302085</v>
      </c>
      <c r="J1135">
        <v>1</v>
      </c>
      <c r="L1135" t="s">
        <v>876</v>
      </c>
      <c r="M1135" t="s">
        <v>876</v>
      </c>
      <c r="N1135" t="s">
        <v>876</v>
      </c>
      <c r="O1135" t="s">
        <v>876</v>
      </c>
      <c r="P1135" t="s">
        <v>876</v>
      </c>
    </row>
    <row r="1136" spans="1:25" x14ac:dyDescent="0.2">
      <c r="A1136" s="60" t="s">
        <v>5193</v>
      </c>
      <c r="B1136" t="s">
        <v>5194</v>
      </c>
      <c r="C1136" t="s">
        <v>5195</v>
      </c>
      <c r="D1136" t="s">
        <v>2438</v>
      </c>
      <c r="F1136">
        <v>302086</v>
      </c>
      <c r="J1136">
        <v>1</v>
      </c>
      <c r="L1136" t="s">
        <v>876</v>
      </c>
      <c r="M1136" t="s">
        <v>876</v>
      </c>
      <c r="N1136" t="s">
        <v>876</v>
      </c>
      <c r="O1136" t="s">
        <v>876</v>
      </c>
      <c r="P1136" t="s">
        <v>876</v>
      </c>
    </row>
    <row r="1137" spans="1:25" x14ac:dyDescent="0.2">
      <c r="A1137" s="60" t="s">
        <v>5196</v>
      </c>
      <c r="B1137" t="s">
        <v>5197</v>
      </c>
      <c r="C1137" t="s">
        <v>5198</v>
      </c>
      <c r="D1137" t="s">
        <v>2438</v>
      </c>
      <c r="F1137">
        <v>302088</v>
      </c>
      <c r="J1137">
        <v>1</v>
      </c>
      <c r="L1137" t="s">
        <v>876</v>
      </c>
      <c r="M1137" t="s">
        <v>876</v>
      </c>
      <c r="N1137" t="s">
        <v>876</v>
      </c>
      <c r="O1137" t="s">
        <v>876</v>
      </c>
      <c r="P1137" t="s">
        <v>876</v>
      </c>
    </row>
    <row r="1138" spans="1:25" x14ac:dyDescent="0.2">
      <c r="A1138" s="60" t="s">
        <v>5199</v>
      </c>
      <c r="B1138" t="s">
        <v>5200</v>
      </c>
      <c r="C1138" t="s">
        <v>5201</v>
      </c>
      <c r="D1138" t="s">
        <v>2438</v>
      </c>
      <c r="F1138">
        <v>302089</v>
      </c>
      <c r="J1138">
        <v>1</v>
      </c>
      <c r="L1138" t="s">
        <v>876</v>
      </c>
      <c r="M1138" t="s">
        <v>876</v>
      </c>
      <c r="N1138" t="s">
        <v>876</v>
      </c>
      <c r="O1138" t="s">
        <v>876</v>
      </c>
      <c r="P1138" t="s">
        <v>876</v>
      </c>
    </row>
    <row r="1139" spans="1:25" x14ac:dyDescent="0.2">
      <c r="A1139" s="60" t="s">
        <v>5202</v>
      </c>
      <c r="B1139" t="s">
        <v>5203</v>
      </c>
      <c r="C1139" t="s">
        <v>5204</v>
      </c>
      <c r="D1139" t="s">
        <v>5205</v>
      </c>
      <c r="F1139">
        <v>302170</v>
      </c>
      <c r="J1139">
        <v>1</v>
      </c>
      <c r="L1139" t="s">
        <v>876</v>
      </c>
      <c r="M1139" t="s">
        <v>876</v>
      </c>
      <c r="N1139" t="s">
        <v>876</v>
      </c>
      <c r="O1139" t="s">
        <v>876</v>
      </c>
      <c r="P1139" t="s">
        <v>876</v>
      </c>
    </row>
    <row r="1140" spans="1:25" x14ac:dyDescent="0.2">
      <c r="A1140" s="60" t="s">
        <v>5206</v>
      </c>
      <c r="B1140" t="s">
        <v>5207</v>
      </c>
      <c r="C1140" t="s">
        <v>5208</v>
      </c>
      <c r="D1140" t="s">
        <v>2152</v>
      </c>
      <c r="F1140">
        <v>302171</v>
      </c>
      <c r="J1140">
        <v>1</v>
      </c>
      <c r="L1140" t="s">
        <v>5209</v>
      </c>
      <c r="M1140" t="s">
        <v>675</v>
      </c>
      <c r="N1140" t="s">
        <v>876</v>
      </c>
      <c r="O1140" t="s">
        <v>671</v>
      </c>
      <c r="P1140" t="s">
        <v>2164</v>
      </c>
      <c r="T1140">
        <v>10000</v>
      </c>
      <c r="U1140">
        <v>122.9823136</v>
      </c>
      <c r="V1140">
        <v>10000</v>
      </c>
      <c r="W1140">
        <v>261.60625425606082</v>
      </c>
      <c r="X1140">
        <v>5.5590924722801693E-2</v>
      </c>
      <c r="Y1140">
        <v>8.2522244314561219E-2</v>
      </c>
    </row>
    <row r="1141" spans="1:25" x14ac:dyDescent="0.2">
      <c r="A1141" s="60" t="s">
        <v>5210</v>
      </c>
      <c r="B1141" t="s">
        <v>5211</v>
      </c>
      <c r="C1141" t="s">
        <v>5212</v>
      </c>
      <c r="D1141" t="s">
        <v>5213</v>
      </c>
      <c r="F1141">
        <v>302307</v>
      </c>
      <c r="J1141">
        <v>1</v>
      </c>
      <c r="L1141" t="s">
        <v>5214</v>
      </c>
      <c r="M1141" t="s">
        <v>2435</v>
      </c>
      <c r="N1141" t="s">
        <v>876</v>
      </c>
      <c r="O1141" t="s">
        <v>1032</v>
      </c>
      <c r="P1141" t="s">
        <v>1033</v>
      </c>
    </row>
    <row r="1142" spans="1:25" x14ac:dyDescent="0.2">
      <c r="A1142" s="60" t="s">
        <v>5215</v>
      </c>
      <c r="B1142" t="s">
        <v>5216</v>
      </c>
      <c r="C1142" t="s">
        <v>5217</v>
      </c>
      <c r="D1142" t="s">
        <v>5213</v>
      </c>
      <c r="F1142">
        <v>302309</v>
      </c>
      <c r="J1142">
        <v>1</v>
      </c>
      <c r="L1142" t="s">
        <v>5218</v>
      </c>
      <c r="M1142" t="s">
        <v>2405</v>
      </c>
      <c r="N1142" t="s">
        <v>876</v>
      </c>
      <c r="O1142" t="s">
        <v>1032</v>
      </c>
      <c r="P1142" t="s">
        <v>1033</v>
      </c>
    </row>
    <row r="1143" spans="1:25" x14ac:dyDescent="0.2">
      <c r="A1143" s="60" t="s">
        <v>1570</v>
      </c>
      <c r="B1143" t="s">
        <v>5219</v>
      </c>
      <c r="C1143" t="s">
        <v>5220</v>
      </c>
      <c r="D1143" t="s">
        <v>1408</v>
      </c>
      <c r="F1143">
        <v>302310</v>
      </c>
      <c r="J1143">
        <v>1</v>
      </c>
      <c r="L1143" t="s">
        <v>5221</v>
      </c>
      <c r="M1143" t="s">
        <v>758</v>
      </c>
      <c r="N1143" t="s">
        <v>876</v>
      </c>
      <c r="O1143" t="s">
        <v>1032</v>
      </c>
      <c r="P1143" t="s">
        <v>1033</v>
      </c>
    </row>
    <row r="1144" spans="1:25" x14ac:dyDescent="0.2">
      <c r="A1144" s="60" t="s">
        <v>5222</v>
      </c>
      <c r="B1144" t="s">
        <v>5223</v>
      </c>
      <c r="C1144" t="s">
        <v>5224</v>
      </c>
      <c r="D1144" t="s">
        <v>5213</v>
      </c>
      <c r="F1144">
        <v>302311</v>
      </c>
      <c r="J1144">
        <v>1</v>
      </c>
      <c r="L1144" t="s">
        <v>5225</v>
      </c>
      <c r="M1144" t="s">
        <v>2362</v>
      </c>
      <c r="N1144" t="s">
        <v>876</v>
      </c>
      <c r="O1144" t="s">
        <v>1032</v>
      </c>
      <c r="P1144" t="s">
        <v>1033</v>
      </c>
    </row>
    <row r="1145" spans="1:25" x14ac:dyDescent="0.2">
      <c r="A1145" s="60" t="s">
        <v>5226</v>
      </c>
      <c r="B1145" t="s">
        <v>5227</v>
      </c>
      <c r="C1145" t="s">
        <v>5228</v>
      </c>
      <c r="D1145" t="s">
        <v>3880</v>
      </c>
      <c r="F1145">
        <v>302503</v>
      </c>
      <c r="J1145">
        <v>1</v>
      </c>
      <c r="L1145" t="s">
        <v>876</v>
      </c>
      <c r="M1145" t="s">
        <v>876</v>
      </c>
      <c r="N1145" t="s">
        <v>876</v>
      </c>
      <c r="O1145" t="s">
        <v>876</v>
      </c>
      <c r="P1145" t="s">
        <v>876</v>
      </c>
    </row>
    <row r="1146" spans="1:25" x14ac:dyDescent="0.2">
      <c r="A1146" s="60" t="s">
        <v>5229</v>
      </c>
      <c r="B1146" t="s">
        <v>5230</v>
      </c>
      <c r="C1146" t="s">
        <v>5231</v>
      </c>
      <c r="D1146" t="s">
        <v>2190</v>
      </c>
      <c r="F1146">
        <v>302555</v>
      </c>
      <c r="J1146">
        <v>1</v>
      </c>
      <c r="L1146" t="s">
        <v>876</v>
      </c>
      <c r="M1146" t="s">
        <v>876</v>
      </c>
      <c r="N1146" t="s">
        <v>876</v>
      </c>
      <c r="O1146" t="s">
        <v>876</v>
      </c>
      <c r="P1146" t="s">
        <v>876</v>
      </c>
    </row>
    <row r="1147" spans="1:25" x14ac:dyDescent="0.2">
      <c r="A1147" s="60" t="s">
        <v>1575</v>
      </c>
      <c r="B1147" t="s">
        <v>5232</v>
      </c>
      <c r="C1147" t="s">
        <v>5233</v>
      </c>
      <c r="D1147" t="s">
        <v>2190</v>
      </c>
      <c r="F1147">
        <v>302556</v>
      </c>
      <c r="J1147">
        <v>1</v>
      </c>
      <c r="L1147" t="s">
        <v>876</v>
      </c>
      <c r="M1147" t="s">
        <v>876</v>
      </c>
      <c r="N1147" t="s">
        <v>876</v>
      </c>
      <c r="O1147" t="s">
        <v>876</v>
      </c>
      <c r="P1147" t="s">
        <v>876</v>
      </c>
    </row>
    <row r="1148" spans="1:25" x14ac:dyDescent="0.2">
      <c r="A1148" s="60" t="s">
        <v>5234</v>
      </c>
      <c r="B1148" t="s">
        <v>5235</v>
      </c>
      <c r="C1148" t="s">
        <v>5236</v>
      </c>
      <c r="D1148" t="s">
        <v>2190</v>
      </c>
      <c r="F1148">
        <v>302557</v>
      </c>
      <c r="J1148">
        <v>1</v>
      </c>
      <c r="L1148" t="s">
        <v>876</v>
      </c>
      <c r="M1148" t="s">
        <v>876</v>
      </c>
      <c r="N1148" t="s">
        <v>876</v>
      </c>
      <c r="O1148" t="s">
        <v>876</v>
      </c>
      <c r="P1148" t="s">
        <v>876</v>
      </c>
    </row>
    <row r="1149" spans="1:25" x14ac:dyDescent="0.2">
      <c r="A1149" s="60" t="s">
        <v>5237</v>
      </c>
      <c r="B1149" t="s">
        <v>5238</v>
      </c>
      <c r="C1149" t="s">
        <v>5239</v>
      </c>
      <c r="D1149" t="s">
        <v>2190</v>
      </c>
      <c r="F1149">
        <v>302558</v>
      </c>
      <c r="J1149">
        <v>1</v>
      </c>
      <c r="L1149" t="s">
        <v>876</v>
      </c>
      <c r="M1149" t="s">
        <v>876</v>
      </c>
      <c r="N1149" t="s">
        <v>876</v>
      </c>
      <c r="O1149" t="s">
        <v>876</v>
      </c>
      <c r="P1149" t="s">
        <v>876</v>
      </c>
    </row>
    <row r="1150" spans="1:25" x14ac:dyDescent="0.2">
      <c r="A1150" s="60" t="s">
        <v>5240</v>
      </c>
      <c r="B1150" t="s">
        <v>5241</v>
      </c>
      <c r="C1150" t="s">
        <v>5242</v>
      </c>
      <c r="D1150" t="s">
        <v>2190</v>
      </c>
      <c r="F1150">
        <v>302559</v>
      </c>
      <c r="J1150">
        <v>1</v>
      </c>
      <c r="L1150" t="s">
        <v>876</v>
      </c>
      <c r="M1150" t="s">
        <v>876</v>
      </c>
      <c r="N1150" t="s">
        <v>876</v>
      </c>
      <c r="O1150" t="s">
        <v>876</v>
      </c>
      <c r="P1150" t="s">
        <v>876</v>
      </c>
    </row>
    <row r="1151" spans="1:25" x14ac:dyDescent="0.2">
      <c r="A1151" s="60" t="s">
        <v>5243</v>
      </c>
      <c r="B1151" t="s">
        <v>5244</v>
      </c>
      <c r="C1151" t="s">
        <v>5245</v>
      </c>
      <c r="D1151" t="s">
        <v>2190</v>
      </c>
      <c r="F1151">
        <v>302560</v>
      </c>
      <c r="J1151">
        <v>1</v>
      </c>
      <c r="L1151" t="s">
        <v>876</v>
      </c>
      <c r="M1151" t="s">
        <v>876</v>
      </c>
      <c r="N1151" t="s">
        <v>876</v>
      </c>
      <c r="O1151" t="s">
        <v>876</v>
      </c>
      <c r="P1151" t="s">
        <v>876</v>
      </c>
    </row>
    <row r="1152" spans="1:25" x14ac:dyDescent="0.2">
      <c r="A1152" s="60" t="s">
        <v>5246</v>
      </c>
      <c r="B1152" t="s">
        <v>5247</v>
      </c>
      <c r="C1152" t="s">
        <v>5248</v>
      </c>
      <c r="D1152" t="s">
        <v>2190</v>
      </c>
      <c r="F1152">
        <v>302561</v>
      </c>
      <c r="J1152">
        <v>1</v>
      </c>
      <c r="L1152" t="s">
        <v>876</v>
      </c>
      <c r="M1152" t="s">
        <v>876</v>
      </c>
      <c r="N1152" t="s">
        <v>876</v>
      </c>
      <c r="O1152" t="s">
        <v>876</v>
      </c>
      <c r="P1152" t="s">
        <v>876</v>
      </c>
    </row>
    <row r="1153" spans="1:16" x14ac:dyDescent="0.2">
      <c r="A1153" s="60" t="s">
        <v>5249</v>
      </c>
      <c r="B1153" t="s">
        <v>5250</v>
      </c>
      <c r="C1153" t="s">
        <v>5251</v>
      </c>
      <c r="D1153" t="s">
        <v>2190</v>
      </c>
      <c r="F1153">
        <v>302562</v>
      </c>
      <c r="J1153">
        <v>1</v>
      </c>
      <c r="L1153" t="s">
        <v>876</v>
      </c>
      <c r="M1153" t="s">
        <v>876</v>
      </c>
      <c r="N1153" t="s">
        <v>876</v>
      </c>
      <c r="O1153" t="s">
        <v>876</v>
      </c>
      <c r="P1153" t="s">
        <v>876</v>
      </c>
    </row>
    <row r="1154" spans="1:16" x14ac:dyDescent="0.2">
      <c r="A1154" s="60" t="s">
        <v>5252</v>
      </c>
      <c r="B1154" t="s">
        <v>5253</v>
      </c>
      <c r="C1154" t="s">
        <v>5254</v>
      </c>
      <c r="D1154" t="s">
        <v>2190</v>
      </c>
      <c r="F1154">
        <v>302563</v>
      </c>
      <c r="J1154">
        <v>1</v>
      </c>
      <c r="L1154" t="s">
        <v>876</v>
      </c>
      <c r="M1154" t="s">
        <v>876</v>
      </c>
      <c r="N1154" t="s">
        <v>876</v>
      </c>
      <c r="O1154" t="s">
        <v>876</v>
      </c>
      <c r="P1154" t="s">
        <v>876</v>
      </c>
    </row>
    <row r="1155" spans="1:16" x14ac:dyDescent="0.2">
      <c r="A1155" s="60" t="s">
        <v>5255</v>
      </c>
      <c r="B1155" t="s">
        <v>5256</v>
      </c>
      <c r="C1155" t="s">
        <v>5257</v>
      </c>
      <c r="D1155" t="s">
        <v>2190</v>
      </c>
      <c r="F1155">
        <v>302564</v>
      </c>
      <c r="J1155">
        <v>1</v>
      </c>
      <c r="L1155" t="s">
        <v>876</v>
      </c>
      <c r="M1155" t="s">
        <v>876</v>
      </c>
      <c r="N1155" t="s">
        <v>876</v>
      </c>
      <c r="O1155" t="s">
        <v>876</v>
      </c>
      <c r="P1155" t="s">
        <v>876</v>
      </c>
    </row>
    <row r="1156" spans="1:16" x14ac:dyDescent="0.2">
      <c r="A1156" s="60" t="s">
        <v>3715</v>
      </c>
      <c r="B1156" t="s">
        <v>5258</v>
      </c>
      <c r="C1156" t="s">
        <v>5259</v>
      </c>
      <c r="D1156" t="s">
        <v>2190</v>
      </c>
      <c r="F1156">
        <v>302565</v>
      </c>
      <c r="J1156">
        <v>1</v>
      </c>
      <c r="L1156" t="s">
        <v>876</v>
      </c>
      <c r="M1156" t="s">
        <v>876</v>
      </c>
      <c r="N1156" t="s">
        <v>876</v>
      </c>
      <c r="O1156" t="s">
        <v>876</v>
      </c>
      <c r="P1156" t="s">
        <v>876</v>
      </c>
    </row>
    <row r="1157" spans="1:16" x14ac:dyDescent="0.2">
      <c r="A1157" s="60" t="s">
        <v>5260</v>
      </c>
      <c r="B1157" t="s">
        <v>5261</v>
      </c>
      <c r="C1157" t="s">
        <v>5262</v>
      </c>
      <c r="D1157" t="s">
        <v>2190</v>
      </c>
      <c r="F1157">
        <v>302567</v>
      </c>
      <c r="J1157">
        <v>1</v>
      </c>
      <c r="L1157" t="s">
        <v>876</v>
      </c>
      <c r="M1157" t="s">
        <v>876</v>
      </c>
      <c r="N1157" t="s">
        <v>876</v>
      </c>
      <c r="O1157" t="s">
        <v>876</v>
      </c>
      <c r="P1157" t="s">
        <v>876</v>
      </c>
    </row>
    <row r="1158" spans="1:16" x14ac:dyDescent="0.2">
      <c r="A1158" s="60" t="s">
        <v>5263</v>
      </c>
      <c r="B1158" t="s">
        <v>5264</v>
      </c>
      <c r="C1158" t="s">
        <v>5265</v>
      </c>
      <c r="D1158" t="s">
        <v>2190</v>
      </c>
      <c r="F1158">
        <v>302568</v>
      </c>
      <c r="J1158">
        <v>1</v>
      </c>
      <c r="L1158" t="s">
        <v>876</v>
      </c>
      <c r="M1158" t="s">
        <v>876</v>
      </c>
      <c r="N1158" t="s">
        <v>876</v>
      </c>
      <c r="O1158" t="s">
        <v>876</v>
      </c>
      <c r="P1158" t="s">
        <v>876</v>
      </c>
    </row>
    <row r="1159" spans="1:16" x14ac:dyDescent="0.2">
      <c r="A1159" s="60" t="s">
        <v>1580</v>
      </c>
      <c r="B1159" t="s">
        <v>5266</v>
      </c>
      <c r="C1159" t="s">
        <v>5267</v>
      </c>
      <c r="D1159" t="s">
        <v>2190</v>
      </c>
      <c r="F1159">
        <v>302569</v>
      </c>
      <c r="J1159">
        <v>1</v>
      </c>
      <c r="L1159" t="s">
        <v>876</v>
      </c>
      <c r="M1159" t="s">
        <v>876</v>
      </c>
      <c r="N1159" t="s">
        <v>876</v>
      </c>
      <c r="O1159" t="s">
        <v>876</v>
      </c>
      <c r="P1159" t="s">
        <v>876</v>
      </c>
    </row>
    <row r="1160" spans="1:16" x14ac:dyDescent="0.2">
      <c r="A1160" s="60" t="s">
        <v>4821</v>
      </c>
      <c r="B1160" t="s">
        <v>5268</v>
      </c>
      <c r="C1160" t="s">
        <v>5269</v>
      </c>
      <c r="D1160" t="s">
        <v>2190</v>
      </c>
      <c r="F1160">
        <v>302570</v>
      </c>
      <c r="J1160">
        <v>1</v>
      </c>
      <c r="L1160" t="s">
        <v>876</v>
      </c>
      <c r="M1160" t="s">
        <v>876</v>
      </c>
      <c r="N1160" t="s">
        <v>876</v>
      </c>
      <c r="O1160" t="s">
        <v>876</v>
      </c>
      <c r="P1160" t="s">
        <v>876</v>
      </c>
    </row>
    <row r="1161" spans="1:16" x14ac:dyDescent="0.2">
      <c r="A1161" s="60" t="s">
        <v>3101</v>
      </c>
      <c r="B1161" t="s">
        <v>5270</v>
      </c>
      <c r="C1161" t="s">
        <v>5271</v>
      </c>
      <c r="D1161" t="s">
        <v>2190</v>
      </c>
      <c r="F1161">
        <v>302571</v>
      </c>
      <c r="J1161">
        <v>1</v>
      </c>
      <c r="L1161" t="s">
        <v>876</v>
      </c>
      <c r="M1161" t="s">
        <v>876</v>
      </c>
      <c r="N1161" t="s">
        <v>876</v>
      </c>
      <c r="O1161" t="s">
        <v>876</v>
      </c>
      <c r="P1161" t="s">
        <v>876</v>
      </c>
    </row>
    <row r="1162" spans="1:16" x14ac:dyDescent="0.2">
      <c r="A1162" s="60" t="s">
        <v>5272</v>
      </c>
      <c r="B1162" t="s">
        <v>5273</v>
      </c>
      <c r="C1162" t="s">
        <v>5274</v>
      </c>
      <c r="D1162" t="s">
        <v>2190</v>
      </c>
      <c r="F1162">
        <v>302572</v>
      </c>
      <c r="J1162">
        <v>1</v>
      </c>
      <c r="L1162" t="s">
        <v>876</v>
      </c>
      <c r="M1162" t="s">
        <v>876</v>
      </c>
      <c r="N1162" t="s">
        <v>876</v>
      </c>
      <c r="O1162" t="s">
        <v>876</v>
      </c>
      <c r="P1162" t="s">
        <v>876</v>
      </c>
    </row>
    <row r="1163" spans="1:16" x14ac:dyDescent="0.2">
      <c r="A1163" s="60" t="s">
        <v>3487</v>
      </c>
      <c r="B1163" t="s">
        <v>5275</v>
      </c>
      <c r="C1163" t="s">
        <v>5276</v>
      </c>
      <c r="D1163" t="s">
        <v>2190</v>
      </c>
      <c r="F1163">
        <v>302573</v>
      </c>
      <c r="J1163">
        <v>1</v>
      </c>
      <c r="L1163" t="s">
        <v>876</v>
      </c>
      <c r="M1163" t="s">
        <v>876</v>
      </c>
      <c r="N1163" t="s">
        <v>876</v>
      </c>
      <c r="O1163" t="s">
        <v>876</v>
      </c>
      <c r="P1163" t="s">
        <v>876</v>
      </c>
    </row>
    <row r="1164" spans="1:16" x14ac:dyDescent="0.2">
      <c r="A1164" s="60" t="s">
        <v>5277</v>
      </c>
      <c r="B1164" t="s">
        <v>5278</v>
      </c>
      <c r="C1164" t="s">
        <v>5279</v>
      </c>
      <c r="D1164" t="s">
        <v>2190</v>
      </c>
      <c r="F1164">
        <v>302574</v>
      </c>
      <c r="J1164">
        <v>1</v>
      </c>
      <c r="L1164" t="s">
        <v>876</v>
      </c>
      <c r="M1164" t="s">
        <v>876</v>
      </c>
      <c r="N1164" t="s">
        <v>876</v>
      </c>
      <c r="O1164" t="s">
        <v>876</v>
      </c>
      <c r="P1164" t="s">
        <v>876</v>
      </c>
    </row>
    <row r="1165" spans="1:16" x14ac:dyDescent="0.2">
      <c r="A1165" s="60" t="s">
        <v>1556</v>
      </c>
      <c r="B1165" t="s">
        <v>5280</v>
      </c>
      <c r="C1165" t="s">
        <v>5281</v>
      </c>
      <c r="D1165" t="s">
        <v>2190</v>
      </c>
      <c r="F1165">
        <v>302575</v>
      </c>
      <c r="J1165">
        <v>1</v>
      </c>
      <c r="L1165" t="s">
        <v>876</v>
      </c>
      <c r="M1165" t="s">
        <v>876</v>
      </c>
      <c r="N1165" t="s">
        <v>876</v>
      </c>
      <c r="O1165" t="s">
        <v>876</v>
      </c>
      <c r="P1165" t="s">
        <v>876</v>
      </c>
    </row>
    <row r="1166" spans="1:16" x14ac:dyDescent="0.2">
      <c r="A1166" s="60" t="s">
        <v>1585</v>
      </c>
      <c r="B1166" t="s">
        <v>5282</v>
      </c>
      <c r="C1166" t="s">
        <v>5283</v>
      </c>
      <c r="D1166" t="s">
        <v>2190</v>
      </c>
      <c r="F1166">
        <v>302576</v>
      </c>
      <c r="J1166">
        <v>1</v>
      </c>
      <c r="L1166" t="s">
        <v>876</v>
      </c>
      <c r="M1166" t="s">
        <v>876</v>
      </c>
      <c r="N1166" t="s">
        <v>876</v>
      </c>
      <c r="O1166" t="s">
        <v>876</v>
      </c>
      <c r="P1166" t="s">
        <v>876</v>
      </c>
    </row>
    <row r="1167" spans="1:16" x14ac:dyDescent="0.2">
      <c r="A1167" s="60" t="s">
        <v>5284</v>
      </c>
      <c r="B1167" t="s">
        <v>5285</v>
      </c>
      <c r="C1167" t="s">
        <v>5286</v>
      </c>
      <c r="D1167" t="s">
        <v>2190</v>
      </c>
      <c r="F1167">
        <v>302577</v>
      </c>
      <c r="J1167">
        <v>1</v>
      </c>
      <c r="L1167" t="s">
        <v>876</v>
      </c>
      <c r="M1167" t="s">
        <v>876</v>
      </c>
      <c r="N1167" t="s">
        <v>876</v>
      </c>
      <c r="O1167" t="s">
        <v>876</v>
      </c>
      <c r="P1167" t="s">
        <v>876</v>
      </c>
    </row>
    <row r="1168" spans="1:16" x14ac:dyDescent="0.2">
      <c r="A1168" s="60" t="s">
        <v>5287</v>
      </c>
      <c r="B1168" t="s">
        <v>5288</v>
      </c>
      <c r="C1168" t="s">
        <v>5289</v>
      </c>
      <c r="D1168" t="s">
        <v>2190</v>
      </c>
      <c r="F1168">
        <v>302578</v>
      </c>
      <c r="J1168">
        <v>1</v>
      </c>
      <c r="L1168" t="s">
        <v>876</v>
      </c>
      <c r="M1168" t="s">
        <v>876</v>
      </c>
      <c r="N1168" t="s">
        <v>876</v>
      </c>
      <c r="O1168" t="s">
        <v>876</v>
      </c>
      <c r="P1168" t="s">
        <v>876</v>
      </c>
    </row>
    <row r="1169" spans="1:16" x14ac:dyDescent="0.2">
      <c r="A1169" s="60" t="s">
        <v>5290</v>
      </c>
      <c r="B1169" t="s">
        <v>5291</v>
      </c>
      <c r="C1169" t="s">
        <v>5292</v>
      </c>
      <c r="D1169" t="s">
        <v>2190</v>
      </c>
      <c r="F1169">
        <v>302579</v>
      </c>
      <c r="J1169">
        <v>1</v>
      </c>
      <c r="L1169" t="s">
        <v>876</v>
      </c>
      <c r="M1169" t="s">
        <v>876</v>
      </c>
      <c r="N1169" t="s">
        <v>876</v>
      </c>
      <c r="O1169" t="s">
        <v>876</v>
      </c>
      <c r="P1169" t="s">
        <v>876</v>
      </c>
    </row>
    <row r="1170" spans="1:16" x14ac:dyDescent="0.2">
      <c r="A1170" s="60" t="s">
        <v>4672</v>
      </c>
      <c r="B1170" t="s">
        <v>5293</v>
      </c>
      <c r="C1170" t="s">
        <v>5294</v>
      </c>
      <c r="D1170" t="s">
        <v>2190</v>
      </c>
      <c r="F1170">
        <v>302580</v>
      </c>
      <c r="J1170">
        <v>1</v>
      </c>
      <c r="L1170" t="s">
        <v>876</v>
      </c>
      <c r="M1170" t="s">
        <v>876</v>
      </c>
      <c r="N1170" t="s">
        <v>876</v>
      </c>
      <c r="O1170" t="s">
        <v>876</v>
      </c>
      <c r="P1170" t="s">
        <v>876</v>
      </c>
    </row>
    <row r="1171" spans="1:16" x14ac:dyDescent="0.2">
      <c r="A1171" s="60" t="s">
        <v>5295</v>
      </c>
      <c r="B1171" t="s">
        <v>5296</v>
      </c>
      <c r="C1171" t="s">
        <v>5297</v>
      </c>
      <c r="D1171" t="s">
        <v>2190</v>
      </c>
      <c r="F1171">
        <v>302581</v>
      </c>
      <c r="J1171">
        <v>1</v>
      </c>
      <c r="L1171" t="s">
        <v>876</v>
      </c>
      <c r="M1171" t="s">
        <v>876</v>
      </c>
      <c r="N1171" t="s">
        <v>876</v>
      </c>
      <c r="O1171" t="s">
        <v>876</v>
      </c>
      <c r="P1171" t="s">
        <v>876</v>
      </c>
    </row>
    <row r="1172" spans="1:16" x14ac:dyDescent="0.2">
      <c r="A1172" s="60" t="s">
        <v>5298</v>
      </c>
      <c r="B1172" t="s">
        <v>5299</v>
      </c>
      <c r="C1172" t="s">
        <v>5300</v>
      </c>
      <c r="D1172" t="s">
        <v>2190</v>
      </c>
      <c r="F1172">
        <v>302582</v>
      </c>
      <c r="J1172">
        <v>1</v>
      </c>
      <c r="L1172" t="s">
        <v>876</v>
      </c>
      <c r="M1172" t="s">
        <v>876</v>
      </c>
      <c r="N1172" t="s">
        <v>876</v>
      </c>
      <c r="O1172" t="s">
        <v>876</v>
      </c>
      <c r="P1172" t="s">
        <v>876</v>
      </c>
    </row>
    <row r="1173" spans="1:16" x14ac:dyDescent="0.2">
      <c r="A1173" s="60" t="s">
        <v>5301</v>
      </c>
      <c r="B1173" t="s">
        <v>5302</v>
      </c>
      <c r="C1173" t="s">
        <v>5303</v>
      </c>
      <c r="D1173" t="s">
        <v>2190</v>
      </c>
      <c r="F1173">
        <v>302584</v>
      </c>
      <c r="J1173">
        <v>1</v>
      </c>
      <c r="L1173" t="s">
        <v>876</v>
      </c>
      <c r="M1173" t="s">
        <v>876</v>
      </c>
      <c r="N1173" t="s">
        <v>876</v>
      </c>
      <c r="O1173" t="s">
        <v>876</v>
      </c>
      <c r="P1173" t="s">
        <v>876</v>
      </c>
    </row>
    <row r="1174" spans="1:16" x14ac:dyDescent="0.2">
      <c r="A1174" s="60" t="s">
        <v>5304</v>
      </c>
      <c r="B1174" t="s">
        <v>5305</v>
      </c>
      <c r="C1174" t="s">
        <v>5306</v>
      </c>
      <c r="D1174" t="s">
        <v>5307</v>
      </c>
      <c r="F1174">
        <v>302586</v>
      </c>
      <c r="J1174">
        <v>1</v>
      </c>
      <c r="L1174" t="s">
        <v>876</v>
      </c>
      <c r="M1174" t="s">
        <v>876</v>
      </c>
      <c r="N1174" t="s">
        <v>876</v>
      </c>
      <c r="O1174" t="s">
        <v>876</v>
      </c>
      <c r="P1174" t="s">
        <v>876</v>
      </c>
    </row>
    <row r="1175" spans="1:16" x14ac:dyDescent="0.2">
      <c r="A1175" s="60" t="s">
        <v>5308</v>
      </c>
      <c r="B1175" t="s">
        <v>5309</v>
      </c>
      <c r="C1175" t="s">
        <v>5310</v>
      </c>
      <c r="D1175" t="s">
        <v>5307</v>
      </c>
      <c r="F1175">
        <v>302587</v>
      </c>
      <c r="J1175">
        <v>1</v>
      </c>
      <c r="L1175" t="s">
        <v>876</v>
      </c>
      <c r="M1175" t="s">
        <v>876</v>
      </c>
      <c r="N1175" t="s">
        <v>876</v>
      </c>
      <c r="O1175" t="s">
        <v>876</v>
      </c>
      <c r="P1175" t="s">
        <v>876</v>
      </c>
    </row>
    <row r="1176" spans="1:16" x14ac:dyDescent="0.2">
      <c r="A1176" s="60" t="s">
        <v>5311</v>
      </c>
      <c r="B1176" t="s">
        <v>5312</v>
      </c>
      <c r="C1176" t="s">
        <v>5313</v>
      </c>
      <c r="D1176" t="s">
        <v>5307</v>
      </c>
      <c r="F1176">
        <v>302588</v>
      </c>
      <c r="J1176">
        <v>1</v>
      </c>
      <c r="L1176" t="s">
        <v>876</v>
      </c>
      <c r="M1176" t="s">
        <v>876</v>
      </c>
      <c r="N1176" t="s">
        <v>876</v>
      </c>
      <c r="O1176" t="s">
        <v>876</v>
      </c>
      <c r="P1176" t="s">
        <v>876</v>
      </c>
    </row>
    <row r="1177" spans="1:16" x14ac:dyDescent="0.2">
      <c r="A1177" s="60" t="s">
        <v>5314</v>
      </c>
      <c r="B1177" t="s">
        <v>5315</v>
      </c>
      <c r="C1177" t="s">
        <v>5316</v>
      </c>
      <c r="D1177" t="s">
        <v>5307</v>
      </c>
      <c r="F1177">
        <v>302589</v>
      </c>
      <c r="J1177">
        <v>1</v>
      </c>
      <c r="L1177" t="s">
        <v>876</v>
      </c>
      <c r="M1177" t="s">
        <v>876</v>
      </c>
      <c r="N1177" t="s">
        <v>876</v>
      </c>
      <c r="O1177" t="s">
        <v>876</v>
      </c>
      <c r="P1177" t="s">
        <v>876</v>
      </c>
    </row>
    <row r="1178" spans="1:16" x14ac:dyDescent="0.2">
      <c r="A1178" s="60" t="s">
        <v>5317</v>
      </c>
      <c r="B1178" t="s">
        <v>5318</v>
      </c>
      <c r="C1178" t="s">
        <v>5319</v>
      </c>
      <c r="D1178" t="s">
        <v>5307</v>
      </c>
      <c r="F1178">
        <v>302590</v>
      </c>
      <c r="J1178">
        <v>1</v>
      </c>
      <c r="L1178" t="s">
        <v>876</v>
      </c>
      <c r="M1178" t="s">
        <v>876</v>
      </c>
      <c r="N1178" t="s">
        <v>876</v>
      </c>
      <c r="O1178" t="s">
        <v>876</v>
      </c>
      <c r="P1178" t="s">
        <v>876</v>
      </c>
    </row>
    <row r="1179" spans="1:16" x14ac:dyDescent="0.2">
      <c r="A1179" s="60" t="s">
        <v>5320</v>
      </c>
      <c r="B1179" t="s">
        <v>5321</v>
      </c>
      <c r="C1179" t="s">
        <v>5322</v>
      </c>
      <c r="D1179" t="s">
        <v>5307</v>
      </c>
      <c r="F1179">
        <v>302591</v>
      </c>
      <c r="J1179">
        <v>1</v>
      </c>
      <c r="L1179" t="s">
        <v>876</v>
      </c>
      <c r="M1179" t="s">
        <v>876</v>
      </c>
      <c r="N1179" t="s">
        <v>876</v>
      </c>
      <c r="O1179" t="s">
        <v>876</v>
      </c>
      <c r="P1179" t="s">
        <v>876</v>
      </c>
    </row>
    <row r="1180" spans="1:16" x14ac:dyDescent="0.2">
      <c r="A1180" s="60" t="s">
        <v>5323</v>
      </c>
      <c r="B1180" t="s">
        <v>5324</v>
      </c>
      <c r="C1180" t="s">
        <v>5325</v>
      </c>
      <c r="D1180" t="s">
        <v>5307</v>
      </c>
      <c r="F1180">
        <v>302592</v>
      </c>
      <c r="J1180">
        <v>1</v>
      </c>
      <c r="L1180" t="s">
        <v>876</v>
      </c>
      <c r="M1180" t="s">
        <v>876</v>
      </c>
      <c r="N1180" t="s">
        <v>876</v>
      </c>
      <c r="O1180" t="s">
        <v>876</v>
      </c>
      <c r="P1180" t="s">
        <v>876</v>
      </c>
    </row>
    <row r="1181" spans="1:16" x14ac:dyDescent="0.2">
      <c r="A1181" s="60" t="s">
        <v>5326</v>
      </c>
      <c r="B1181" t="s">
        <v>5327</v>
      </c>
      <c r="C1181" t="s">
        <v>5328</v>
      </c>
      <c r="D1181" t="s">
        <v>5307</v>
      </c>
      <c r="F1181">
        <v>302593</v>
      </c>
      <c r="J1181">
        <v>1</v>
      </c>
      <c r="L1181" t="s">
        <v>876</v>
      </c>
      <c r="M1181" t="s">
        <v>876</v>
      </c>
      <c r="N1181" t="s">
        <v>876</v>
      </c>
      <c r="O1181" t="s">
        <v>876</v>
      </c>
      <c r="P1181" t="s">
        <v>876</v>
      </c>
    </row>
    <row r="1182" spans="1:16" x14ac:dyDescent="0.2">
      <c r="A1182" s="60" t="s">
        <v>5329</v>
      </c>
      <c r="B1182" t="s">
        <v>5330</v>
      </c>
      <c r="C1182" t="s">
        <v>5331</v>
      </c>
      <c r="D1182" t="s">
        <v>782</v>
      </c>
      <c r="F1182">
        <v>302600</v>
      </c>
      <c r="J1182">
        <v>1</v>
      </c>
      <c r="L1182" t="s">
        <v>876</v>
      </c>
      <c r="M1182" t="s">
        <v>876</v>
      </c>
      <c r="N1182" t="s">
        <v>876</v>
      </c>
      <c r="O1182" t="s">
        <v>876</v>
      </c>
      <c r="P1182" t="s">
        <v>876</v>
      </c>
    </row>
    <row r="1183" spans="1:16" x14ac:dyDescent="0.2">
      <c r="A1183" s="60" t="s">
        <v>5332</v>
      </c>
      <c r="B1183" t="s">
        <v>5333</v>
      </c>
      <c r="C1183" t="s">
        <v>5334</v>
      </c>
      <c r="D1183" t="s">
        <v>782</v>
      </c>
      <c r="F1183">
        <v>302601</v>
      </c>
      <c r="J1183">
        <v>1</v>
      </c>
      <c r="L1183" t="s">
        <v>876</v>
      </c>
      <c r="M1183" t="s">
        <v>876</v>
      </c>
      <c r="N1183" t="s">
        <v>876</v>
      </c>
      <c r="O1183" t="s">
        <v>876</v>
      </c>
      <c r="P1183" t="s">
        <v>876</v>
      </c>
    </row>
    <row r="1184" spans="1:16" x14ac:dyDescent="0.2">
      <c r="A1184" s="60" t="s">
        <v>5335</v>
      </c>
      <c r="B1184" t="s">
        <v>5336</v>
      </c>
      <c r="C1184" t="s">
        <v>5337</v>
      </c>
      <c r="D1184" t="s">
        <v>782</v>
      </c>
      <c r="F1184">
        <v>302602</v>
      </c>
      <c r="J1184">
        <v>1</v>
      </c>
      <c r="L1184" t="s">
        <v>876</v>
      </c>
      <c r="M1184" t="s">
        <v>876</v>
      </c>
      <c r="N1184" t="s">
        <v>876</v>
      </c>
      <c r="O1184" t="s">
        <v>876</v>
      </c>
      <c r="P1184" t="s">
        <v>876</v>
      </c>
    </row>
    <row r="1185" spans="1:16" x14ac:dyDescent="0.2">
      <c r="A1185" s="60" t="s">
        <v>5338</v>
      </c>
      <c r="B1185" t="s">
        <v>5339</v>
      </c>
      <c r="C1185" t="s">
        <v>5340</v>
      </c>
      <c r="D1185" t="s">
        <v>782</v>
      </c>
      <c r="F1185">
        <v>302603</v>
      </c>
      <c r="J1185">
        <v>1</v>
      </c>
      <c r="L1185" t="s">
        <v>876</v>
      </c>
      <c r="M1185" t="s">
        <v>876</v>
      </c>
      <c r="N1185" t="s">
        <v>876</v>
      </c>
      <c r="O1185" t="s">
        <v>876</v>
      </c>
      <c r="P1185" t="s">
        <v>876</v>
      </c>
    </row>
    <row r="1186" spans="1:16" x14ac:dyDescent="0.2">
      <c r="A1186" s="60" t="s">
        <v>5341</v>
      </c>
      <c r="B1186" t="s">
        <v>5342</v>
      </c>
      <c r="C1186" t="s">
        <v>5343</v>
      </c>
      <c r="D1186" t="s">
        <v>782</v>
      </c>
      <c r="F1186">
        <v>302604</v>
      </c>
      <c r="J1186">
        <v>1</v>
      </c>
      <c r="L1186" t="s">
        <v>876</v>
      </c>
      <c r="M1186" t="s">
        <v>876</v>
      </c>
      <c r="N1186" t="s">
        <v>876</v>
      </c>
      <c r="O1186" t="s">
        <v>876</v>
      </c>
      <c r="P1186" t="s">
        <v>876</v>
      </c>
    </row>
    <row r="1187" spans="1:16" x14ac:dyDescent="0.2">
      <c r="A1187" s="60" t="s">
        <v>5344</v>
      </c>
      <c r="B1187" t="s">
        <v>5345</v>
      </c>
      <c r="C1187" t="s">
        <v>5346</v>
      </c>
      <c r="D1187" t="s">
        <v>782</v>
      </c>
      <c r="F1187">
        <v>302605</v>
      </c>
      <c r="J1187">
        <v>1</v>
      </c>
      <c r="L1187" t="s">
        <v>876</v>
      </c>
      <c r="M1187" t="s">
        <v>876</v>
      </c>
      <c r="N1187" t="s">
        <v>876</v>
      </c>
      <c r="O1187" t="s">
        <v>876</v>
      </c>
      <c r="P1187" t="s">
        <v>876</v>
      </c>
    </row>
    <row r="1188" spans="1:16" x14ac:dyDescent="0.2">
      <c r="A1188" s="60" t="s">
        <v>5347</v>
      </c>
      <c r="B1188" t="s">
        <v>5348</v>
      </c>
      <c r="C1188" t="s">
        <v>5349</v>
      </c>
      <c r="D1188" t="s">
        <v>782</v>
      </c>
      <c r="F1188">
        <v>302606</v>
      </c>
      <c r="J1188">
        <v>1</v>
      </c>
      <c r="L1188" t="s">
        <v>876</v>
      </c>
      <c r="M1188" t="s">
        <v>876</v>
      </c>
      <c r="N1188" t="s">
        <v>876</v>
      </c>
      <c r="O1188" t="s">
        <v>876</v>
      </c>
      <c r="P1188" t="s">
        <v>876</v>
      </c>
    </row>
    <row r="1189" spans="1:16" x14ac:dyDescent="0.2">
      <c r="A1189" s="60" t="s">
        <v>5350</v>
      </c>
      <c r="B1189" t="s">
        <v>5351</v>
      </c>
      <c r="C1189" t="s">
        <v>5352</v>
      </c>
      <c r="D1189" t="s">
        <v>782</v>
      </c>
      <c r="F1189">
        <v>302607</v>
      </c>
      <c r="J1189">
        <v>1</v>
      </c>
      <c r="L1189" t="s">
        <v>876</v>
      </c>
      <c r="M1189" t="s">
        <v>876</v>
      </c>
      <c r="N1189" t="s">
        <v>876</v>
      </c>
      <c r="O1189" t="s">
        <v>876</v>
      </c>
      <c r="P1189" t="s">
        <v>876</v>
      </c>
    </row>
    <row r="1190" spans="1:16" x14ac:dyDescent="0.2">
      <c r="A1190" s="60" t="s">
        <v>5353</v>
      </c>
      <c r="B1190" t="s">
        <v>5354</v>
      </c>
      <c r="C1190" t="s">
        <v>5355</v>
      </c>
      <c r="D1190" t="s">
        <v>782</v>
      </c>
      <c r="F1190">
        <v>302608</v>
      </c>
      <c r="J1190">
        <v>1</v>
      </c>
      <c r="L1190" t="s">
        <v>876</v>
      </c>
      <c r="M1190" t="s">
        <v>876</v>
      </c>
      <c r="N1190" t="s">
        <v>876</v>
      </c>
      <c r="O1190" t="s">
        <v>876</v>
      </c>
      <c r="P1190" t="s">
        <v>876</v>
      </c>
    </row>
    <row r="1191" spans="1:16" x14ac:dyDescent="0.2">
      <c r="A1191" s="60" t="s">
        <v>5356</v>
      </c>
      <c r="B1191" t="s">
        <v>5357</v>
      </c>
      <c r="C1191" t="s">
        <v>5358</v>
      </c>
      <c r="D1191" t="s">
        <v>3880</v>
      </c>
      <c r="F1191">
        <v>302610</v>
      </c>
      <c r="J1191">
        <v>1</v>
      </c>
      <c r="L1191" t="s">
        <v>876</v>
      </c>
      <c r="M1191" t="s">
        <v>876</v>
      </c>
      <c r="N1191" t="s">
        <v>876</v>
      </c>
      <c r="O1191" t="s">
        <v>876</v>
      </c>
      <c r="P1191" t="s">
        <v>876</v>
      </c>
    </row>
    <row r="1192" spans="1:16" x14ac:dyDescent="0.2">
      <c r="A1192" s="60" t="s">
        <v>5359</v>
      </c>
      <c r="B1192" t="s">
        <v>5360</v>
      </c>
      <c r="C1192" t="s">
        <v>5361</v>
      </c>
      <c r="D1192" t="s">
        <v>3880</v>
      </c>
      <c r="F1192">
        <v>302612</v>
      </c>
      <c r="J1192">
        <v>1</v>
      </c>
      <c r="L1192" t="s">
        <v>876</v>
      </c>
      <c r="M1192" t="s">
        <v>876</v>
      </c>
      <c r="N1192" t="s">
        <v>876</v>
      </c>
      <c r="O1192" t="s">
        <v>876</v>
      </c>
      <c r="P1192" t="s">
        <v>876</v>
      </c>
    </row>
    <row r="1193" spans="1:16" x14ac:dyDescent="0.2">
      <c r="A1193" s="60" t="s">
        <v>5362</v>
      </c>
      <c r="B1193" t="s">
        <v>5363</v>
      </c>
      <c r="C1193" t="s">
        <v>5364</v>
      </c>
      <c r="D1193" t="s">
        <v>3880</v>
      </c>
      <c r="F1193">
        <v>302613</v>
      </c>
      <c r="J1193">
        <v>1</v>
      </c>
      <c r="L1193" t="s">
        <v>876</v>
      </c>
      <c r="M1193" t="s">
        <v>876</v>
      </c>
      <c r="N1193" t="s">
        <v>876</v>
      </c>
      <c r="O1193" t="s">
        <v>876</v>
      </c>
      <c r="P1193" t="s">
        <v>876</v>
      </c>
    </row>
    <row r="1194" spans="1:16" x14ac:dyDescent="0.2">
      <c r="A1194" s="60" t="s">
        <v>5365</v>
      </c>
      <c r="B1194" t="s">
        <v>5366</v>
      </c>
      <c r="C1194" t="s">
        <v>5367</v>
      </c>
      <c r="D1194" t="s">
        <v>3880</v>
      </c>
      <c r="F1194">
        <v>302615</v>
      </c>
      <c r="J1194">
        <v>1</v>
      </c>
      <c r="L1194" t="s">
        <v>876</v>
      </c>
      <c r="M1194" t="s">
        <v>876</v>
      </c>
      <c r="N1194" t="s">
        <v>876</v>
      </c>
      <c r="O1194" t="s">
        <v>876</v>
      </c>
      <c r="P1194" t="s">
        <v>876</v>
      </c>
    </row>
    <row r="1195" spans="1:16" x14ac:dyDescent="0.2">
      <c r="A1195" s="60" t="s">
        <v>5368</v>
      </c>
      <c r="B1195" t="s">
        <v>5369</v>
      </c>
      <c r="C1195" t="s">
        <v>5370</v>
      </c>
      <c r="D1195" t="s">
        <v>3880</v>
      </c>
      <c r="F1195">
        <v>302616</v>
      </c>
      <c r="J1195">
        <v>1</v>
      </c>
      <c r="L1195" t="s">
        <v>876</v>
      </c>
      <c r="M1195" t="s">
        <v>876</v>
      </c>
      <c r="N1195" t="s">
        <v>876</v>
      </c>
      <c r="O1195" t="s">
        <v>876</v>
      </c>
      <c r="P1195" t="s">
        <v>876</v>
      </c>
    </row>
    <row r="1196" spans="1:16" x14ac:dyDescent="0.2">
      <c r="A1196" s="60" t="s">
        <v>5371</v>
      </c>
      <c r="B1196" t="s">
        <v>5372</v>
      </c>
      <c r="C1196" t="s">
        <v>5373</v>
      </c>
      <c r="D1196" t="s">
        <v>3880</v>
      </c>
      <c r="F1196">
        <v>302617</v>
      </c>
      <c r="J1196">
        <v>1</v>
      </c>
      <c r="L1196" t="s">
        <v>876</v>
      </c>
      <c r="M1196" t="s">
        <v>876</v>
      </c>
      <c r="N1196" t="s">
        <v>876</v>
      </c>
      <c r="O1196" t="s">
        <v>876</v>
      </c>
      <c r="P1196" t="s">
        <v>876</v>
      </c>
    </row>
    <row r="1197" spans="1:16" x14ac:dyDescent="0.2">
      <c r="A1197" s="60" t="s">
        <v>5374</v>
      </c>
      <c r="B1197" t="s">
        <v>5375</v>
      </c>
      <c r="C1197" t="s">
        <v>5376</v>
      </c>
      <c r="D1197" t="s">
        <v>3880</v>
      </c>
      <c r="F1197">
        <v>302623</v>
      </c>
      <c r="J1197">
        <v>1</v>
      </c>
      <c r="L1197" t="s">
        <v>876</v>
      </c>
      <c r="M1197" t="s">
        <v>876</v>
      </c>
      <c r="N1197" t="s">
        <v>876</v>
      </c>
      <c r="O1197" t="s">
        <v>876</v>
      </c>
      <c r="P1197" t="s">
        <v>876</v>
      </c>
    </row>
    <row r="1198" spans="1:16" x14ac:dyDescent="0.2">
      <c r="A1198" s="60" t="s">
        <v>5377</v>
      </c>
      <c r="B1198" t="s">
        <v>5378</v>
      </c>
      <c r="C1198" t="s">
        <v>5379</v>
      </c>
      <c r="D1198" t="s">
        <v>3880</v>
      </c>
      <c r="F1198">
        <v>302626</v>
      </c>
      <c r="J1198">
        <v>1</v>
      </c>
      <c r="L1198" t="s">
        <v>876</v>
      </c>
      <c r="M1198" t="s">
        <v>876</v>
      </c>
      <c r="N1198" t="s">
        <v>876</v>
      </c>
      <c r="O1198" t="s">
        <v>876</v>
      </c>
      <c r="P1198" t="s">
        <v>876</v>
      </c>
    </row>
    <row r="1199" spans="1:16" x14ac:dyDescent="0.2">
      <c r="A1199" s="60" t="s">
        <v>5380</v>
      </c>
      <c r="B1199" t="s">
        <v>5381</v>
      </c>
      <c r="C1199" t="s">
        <v>5382</v>
      </c>
      <c r="D1199" t="s">
        <v>3880</v>
      </c>
      <c r="F1199">
        <v>302627</v>
      </c>
      <c r="J1199">
        <v>1</v>
      </c>
      <c r="L1199" t="s">
        <v>876</v>
      </c>
      <c r="M1199" t="s">
        <v>876</v>
      </c>
      <c r="N1199" t="s">
        <v>876</v>
      </c>
      <c r="O1199" t="s">
        <v>876</v>
      </c>
      <c r="P1199" t="s">
        <v>876</v>
      </c>
    </row>
    <row r="1200" spans="1:16" x14ac:dyDescent="0.2">
      <c r="A1200" s="60" t="s">
        <v>5383</v>
      </c>
      <c r="B1200" t="s">
        <v>5384</v>
      </c>
      <c r="C1200" t="s">
        <v>5385</v>
      </c>
      <c r="D1200" t="s">
        <v>2438</v>
      </c>
      <c r="F1200">
        <v>302635</v>
      </c>
      <c r="J1200">
        <v>1</v>
      </c>
      <c r="L1200" t="s">
        <v>876</v>
      </c>
      <c r="M1200" t="s">
        <v>876</v>
      </c>
      <c r="N1200" t="s">
        <v>876</v>
      </c>
      <c r="O1200" t="s">
        <v>876</v>
      </c>
      <c r="P1200" t="s">
        <v>876</v>
      </c>
    </row>
    <row r="1201" spans="1:16" x14ac:dyDescent="0.2">
      <c r="A1201" s="60" t="s">
        <v>5386</v>
      </c>
      <c r="B1201" t="s">
        <v>5387</v>
      </c>
      <c r="C1201" t="s">
        <v>5388</v>
      </c>
      <c r="D1201" t="s">
        <v>2438</v>
      </c>
      <c r="F1201">
        <v>302636</v>
      </c>
      <c r="J1201">
        <v>1</v>
      </c>
      <c r="L1201" t="s">
        <v>876</v>
      </c>
      <c r="M1201" t="s">
        <v>876</v>
      </c>
      <c r="N1201" t="s">
        <v>876</v>
      </c>
      <c r="O1201" t="s">
        <v>876</v>
      </c>
      <c r="P1201" t="s">
        <v>876</v>
      </c>
    </row>
    <row r="1202" spans="1:16" x14ac:dyDescent="0.2">
      <c r="A1202" s="60" t="s">
        <v>5389</v>
      </c>
      <c r="B1202" t="s">
        <v>5390</v>
      </c>
      <c r="C1202" t="s">
        <v>5391</v>
      </c>
      <c r="D1202" t="s">
        <v>2438</v>
      </c>
      <c r="F1202">
        <v>302637</v>
      </c>
      <c r="J1202">
        <v>1</v>
      </c>
      <c r="L1202" t="s">
        <v>876</v>
      </c>
      <c r="M1202" t="s">
        <v>876</v>
      </c>
      <c r="N1202" t="s">
        <v>876</v>
      </c>
      <c r="O1202" t="s">
        <v>876</v>
      </c>
      <c r="P1202" t="s">
        <v>876</v>
      </c>
    </row>
    <row r="1203" spans="1:16" x14ac:dyDescent="0.2">
      <c r="A1203" s="60" t="s">
        <v>5392</v>
      </c>
      <c r="B1203" t="s">
        <v>5393</v>
      </c>
      <c r="C1203" t="s">
        <v>5394</v>
      </c>
      <c r="D1203" t="s">
        <v>2438</v>
      </c>
      <c r="F1203">
        <v>302638</v>
      </c>
      <c r="J1203">
        <v>1</v>
      </c>
      <c r="L1203" t="s">
        <v>876</v>
      </c>
      <c r="M1203" t="s">
        <v>876</v>
      </c>
      <c r="N1203" t="s">
        <v>876</v>
      </c>
      <c r="O1203" t="s">
        <v>876</v>
      </c>
      <c r="P1203" t="s">
        <v>876</v>
      </c>
    </row>
    <row r="1204" spans="1:16" x14ac:dyDescent="0.2">
      <c r="A1204" s="60" t="s">
        <v>4240</v>
      </c>
      <c r="B1204" t="s">
        <v>5395</v>
      </c>
      <c r="C1204" t="s">
        <v>5396</v>
      </c>
      <c r="D1204" t="s">
        <v>1384</v>
      </c>
      <c r="F1204">
        <v>302639</v>
      </c>
      <c r="J1204">
        <v>1</v>
      </c>
      <c r="L1204" t="s">
        <v>876</v>
      </c>
      <c r="M1204" t="s">
        <v>876</v>
      </c>
      <c r="N1204" t="s">
        <v>876</v>
      </c>
      <c r="O1204" t="s">
        <v>876</v>
      </c>
      <c r="P1204" t="s">
        <v>876</v>
      </c>
    </row>
    <row r="1205" spans="1:16" x14ac:dyDescent="0.2">
      <c r="A1205" s="60" t="s">
        <v>5397</v>
      </c>
      <c r="B1205" t="s">
        <v>5398</v>
      </c>
      <c r="C1205" t="s">
        <v>5399</v>
      </c>
      <c r="D1205" t="s">
        <v>5400</v>
      </c>
      <c r="F1205">
        <v>302640</v>
      </c>
      <c r="J1205">
        <v>1</v>
      </c>
      <c r="L1205" t="s">
        <v>876</v>
      </c>
      <c r="M1205" t="s">
        <v>876</v>
      </c>
      <c r="N1205" t="s">
        <v>876</v>
      </c>
      <c r="O1205" t="s">
        <v>876</v>
      </c>
      <c r="P1205" t="s">
        <v>876</v>
      </c>
    </row>
    <row r="1206" spans="1:16" x14ac:dyDescent="0.2">
      <c r="A1206" s="60" t="s">
        <v>5401</v>
      </c>
      <c r="B1206" t="s">
        <v>5402</v>
      </c>
      <c r="C1206" t="s">
        <v>5403</v>
      </c>
      <c r="D1206" t="s">
        <v>5400</v>
      </c>
      <c r="F1206">
        <v>302641</v>
      </c>
      <c r="J1206">
        <v>1</v>
      </c>
      <c r="L1206" t="s">
        <v>876</v>
      </c>
      <c r="M1206" t="s">
        <v>876</v>
      </c>
      <c r="N1206" t="s">
        <v>876</v>
      </c>
      <c r="O1206" t="s">
        <v>876</v>
      </c>
      <c r="P1206" t="s">
        <v>876</v>
      </c>
    </row>
    <row r="1207" spans="1:16" x14ac:dyDescent="0.2">
      <c r="A1207" s="60" t="s">
        <v>5404</v>
      </c>
      <c r="B1207" t="s">
        <v>5405</v>
      </c>
      <c r="C1207" t="s">
        <v>5406</v>
      </c>
      <c r="D1207" t="s">
        <v>5400</v>
      </c>
      <c r="F1207">
        <v>302642</v>
      </c>
      <c r="J1207">
        <v>1</v>
      </c>
      <c r="L1207" t="s">
        <v>876</v>
      </c>
      <c r="M1207" t="s">
        <v>876</v>
      </c>
      <c r="N1207" t="s">
        <v>876</v>
      </c>
      <c r="O1207" t="s">
        <v>876</v>
      </c>
      <c r="P1207" t="s">
        <v>876</v>
      </c>
    </row>
    <row r="1208" spans="1:16" x14ac:dyDescent="0.2">
      <c r="A1208" s="60" t="s">
        <v>5407</v>
      </c>
      <c r="B1208" t="s">
        <v>5408</v>
      </c>
      <c r="C1208" t="s">
        <v>5409</v>
      </c>
      <c r="D1208" t="s">
        <v>5400</v>
      </c>
      <c r="F1208">
        <v>302643</v>
      </c>
      <c r="J1208">
        <v>1</v>
      </c>
      <c r="L1208" t="s">
        <v>876</v>
      </c>
      <c r="M1208" t="s">
        <v>876</v>
      </c>
      <c r="N1208" t="s">
        <v>876</v>
      </c>
      <c r="O1208" t="s">
        <v>876</v>
      </c>
      <c r="P1208" t="s">
        <v>876</v>
      </c>
    </row>
    <row r="1209" spans="1:16" x14ac:dyDescent="0.2">
      <c r="A1209" s="60" t="s">
        <v>1593</v>
      </c>
      <c r="B1209" t="s">
        <v>5410</v>
      </c>
      <c r="C1209" t="s">
        <v>5411</v>
      </c>
      <c r="D1209" t="s">
        <v>5400</v>
      </c>
      <c r="F1209">
        <v>302645</v>
      </c>
      <c r="J1209">
        <v>1</v>
      </c>
      <c r="L1209" t="s">
        <v>876</v>
      </c>
      <c r="M1209" t="s">
        <v>876</v>
      </c>
      <c r="N1209" t="s">
        <v>876</v>
      </c>
      <c r="O1209" t="s">
        <v>876</v>
      </c>
      <c r="P1209" t="s">
        <v>876</v>
      </c>
    </row>
    <row r="1210" spans="1:16" x14ac:dyDescent="0.2">
      <c r="A1210" s="60" t="s">
        <v>5412</v>
      </c>
      <c r="B1210" t="s">
        <v>5413</v>
      </c>
      <c r="C1210" t="s">
        <v>5414</v>
      </c>
      <c r="D1210" t="s">
        <v>5400</v>
      </c>
      <c r="F1210">
        <v>302647</v>
      </c>
      <c r="J1210">
        <v>1</v>
      </c>
      <c r="L1210" t="s">
        <v>876</v>
      </c>
      <c r="M1210" t="s">
        <v>876</v>
      </c>
      <c r="N1210" t="s">
        <v>876</v>
      </c>
      <c r="O1210" t="s">
        <v>876</v>
      </c>
      <c r="P1210" t="s">
        <v>876</v>
      </c>
    </row>
    <row r="1211" spans="1:16" x14ac:dyDescent="0.2">
      <c r="A1211" s="60" t="s">
        <v>5415</v>
      </c>
      <c r="B1211" t="s">
        <v>5416</v>
      </c>
      <c r="C1211" t="s">
        <v>5417</v>
      </c>
      <c r="D1211" t="s">
        <v>5400</v>
      </c>
      <c r="F1211">
        <v>302648</v>
      </c>
      <c r="J1211">
        <v>1</v>
      </c>
      <c r="L1211" t="s">
        <v>876</v>
      </c>
      <c r="M1211" t="s">
        <v>876</v>
      </c>
      <c r="N1211" t="s">
        <v>876</v>
      </c>
      <c r="O1211" t="s">
        <v>876</v>
      </c>
      <c r="P1211" t="s">
        <v>876</v>
      </c>
    </row>
    <row r="1212" spans="1:16" x14ac:dyDescent="0.2">
      <c r="A1212" s="60" t="s">
        <v>1598</v>
      </c>
      <c r="B1212" t="s">
        <v>5418</v>
      </c>
      <c r="C1212" t="s">
        <v>5419</v>
      </c>
      <c r="D1212" t="s">
        <v>5400</v>
      </c>
      <c r="F1212">
        <v>302649</v>
      </c>
      <c r="J1212">
        <v>1</v>
      </c>
      <c r="L1212" t="s">
        <v>876</v>
      </c>
      <c r="M1212" t="s">
        <v>876</v>
      </c>
      <c r="N1212" t="s">
        <v>876</v>
      </c>
      <c r="O1212" t="s">
        <v>876</v>
      </c>
      <c r="P1212" t="s">
        <v>876</v>
      </c>
    </row>
    <row r="1213" spans="1:16" x14ac:dyDescent="0.2">
      <c r="A1213" s="60" t="s">
        <v>788</v>
      </c>
      <c r="B1213" t="s">
        <v>5420</v>
      </c>
      <c r="C1213" t="s">
        <v>5421</v>
      </c>
      <c r="D1213" t="s">
        <v>5400</v>
      </c>
      <c r="F1213">
        <v>302650</v>
      </c>
      <c r="J1213">
        <v>1</v>
      </c>
      <c r="L1213" t="s">
        <v>876</v>
      </c>
      <c r="M1213" t="s">
        <v>876</v>
      </c>
      <c r="N1213" t="s">
        <v>876</v>
      </c>
      <c r="O1213" t="s">
        <v>876</v>
      </c>
      <c r="P1213" t="s">
        <v>876</v>
      </c>
    </row>
    <row r="1214" spans="1:16" x14ac:dyDescent="0.2">
      <c r="A1214" s="60" t="s">
        <v>5422</v>
      </c>
      <c r="B1214" t="s">
        <v>5423</v>
      </c>
      <c r="C1214" t="s">
        <v>5424</v>
      </c>
      <c r="D1214" t="s">
        <v>5400</v>
      </c>
      <c r="F1214">
        <v>302651</v>
      </c>
      <c r="J1214">
        <v>1</v>
      </c>
      <c r="L1214" t="s">
        <v>876</v>
      </c>
      <c r="M1214" t="s">
        <v>876</v>
      </c>
      <c r="N1214" t="s">
        <v>876</v>
      </c>
      <c r="O1214" t="s">
        <v>876</v>
      </c>
      <c r="P1214" t="s">
        <v>876</v>
      </c>
    </row>
    <row r="1215" spans="1:16" x14ac:dyDescent="0.2">
      <c r="A1215" s="60" t="s">
        <v>1603</v>
      </c>
      <c r="B1215" t="s">
        <v>5425</v>
      </c>
      <c r="C1215" t="s">
        <v>5426</v>
      </c>
      <c r="D1215" t="s">
        <v>5400</v>
      </c>
      <c r="F1215">
        <v>302652</v>
      </c>
      <c r="J1215">
        <v>1</v>
      </c>
      <c r="L1215" t="s">
        <v>876</v>
      </c>
      <c r="M1215" t="s">
        <v>876</v>
      </c>
      <c r="N1215" t="s">
        <v>876</v>
      </c>
      <c r="O1215" t="s">
        <v>876</v>
      </c>
      <c r="P1215" t="s">
        <v>876</v>
      </c>
    </row>
    <row r="1216" spans="1:16" x14ac:dyDescent="0.2">
      <c r="A1216" s="60" t="s">
        <v>5427</v>
      </c>
      <c r="B1216" t="s">
        <v>5428</v>
      </c>
      <c r="C1216" t="s">
        <v>5429</v>
      </c>
      <c r="D1216" t="s">
        <v>5400</v>
      </c>
      <c r="F1216">
        <v>302653</v>
      </c>
      <c r="J1216">
        <v>1</v>
      </c>
      <c r="L1216" t="s">
        <v>876</v>
      </c>
      <c r="M1216" t="s">
        <v>876</v>
      </c>
      <c r="N1216" t="s">
        <v>876</v>
      </c>
      <c r="O1216" t="s">
        <v>876</v>
      </c>
      <c r="P1216" t="s">
        <v>876</v>
      </c>
    </row>
    <row r="1217" spans="1:16" x14ac:dyDescent="0.2">
      <c r="A1217" s="60" t="s">
        <v>5430</v>
      </c>
      <c r="B1217" t="s">
        <v>5431</v>
      </c>
      <c r="C1217" t="s">
        <v>5432</v>
      </c>
      <c r="D1217" t="s">
        <v>5400</v>
      </c>
      <c r="F1217">
        <v>302654</v>
      </c>
      <c r="J1217">
        <v>1</v>
      </c>
      <c r="L1217" t="s">
        <v>876</v>
      </c>
      <c r="M1217" t="s">
        <v>876</v>
      </c>
      <c r="N1217" t="s">
        <v>876</v>
      </c>
      <c r="O1217" t="s">
        <v>876</v>
      </c>
      <c r="P1217" t="s">
        <v>876</v>
      </c>
    </row>
    <row r="1218" spans="1:16" x14ac:dyDescent="0.2">
      <c r="A1218" s="60" t="s">
        <v>3905</v>
      </c>
      <c r="B1218" t="s">
        <v>5433</v>
      </c>
      <c r="C1218" t="s">
        <v>5434</v>
      </c>
      <c r="D1218" t="s">
        <v>5400</v>
      </c>
      <c r="F1218">
        <v>302655</v>
      </c>
      <c r="J1218">
        <v>1</v>
      </c>
      <c r="L1218" t="s">
        <v>876</v>
      </c>
      <c r="M1218" t="s">
        <v>876</v>
      </c>
      <c r="N1218" t="s">
        <v>876</v>
      </c>
      <c r="O1218" t="s">
        <v>876</v>
      </c>
      <c r="P1218" t="s">
        <v>876</v>
      </c>
    </row>
    <row r="1219" spans="1:16" x14ac:dyDescent="0.2">
      <c r="A1219" s="60" t="s">
        <v>1611</v>
      </c>
      <c r="B1219" t="s">
        <v>5435</v>
      </c>
      <c r="C1219" t="s">
        <v>5436</v>
      </c>
      <c r="D1219" t="s">
        <v>873</v>
      </c>
      <c r="F1219">
        <v>302661</v>
      </c>
      <c r="J1219">
        <v>1</v>
      </c>
      <c r="L1219" t="s">
        <v>876</v>
      </c>
      <c r="M1219" t="s">
        <v>876</v>
      </c>
      <c r="N1219" t="s">
        <v>876</v>
      </c>
      <c r="O1219" t="s">
        <v>876</v>
      </c>
      <c r="P1219" t="s">
        <v>876</v>
      </c>
    </row>
    <row r="1220" spans="1:16" x14ac:dyDescent="0.2">
      <c r="A1220" s="60" t="s">
        <v>4621</v>
      </c>
      <c r="B1220" t="s">
        <v>5437</v>
      </c>
      <c r="C1220" t="s">
        <v>5438</v>
      </c>
      <c r="D1220" t="s">
        <v>873</v>
      </c>
      <c r="F1220">
        <v>302662</v>
      </c>
      <c r="J1220">
        <v>1</v>
      </c>
      <c r="L1220" t="s">
        <v>876</v>
      </c>
      <c r="M1220" t="s">
        <v>876</v>
      </c>
      <c r="N1220" t="s">
        <v>876</v>
      </c>
      <c r="O1220" t="s">
        <v>876</v>
      </c>
      <c r="P1220" t="s">
        <v>876</v>
      </c>
    </row>
    <row r="1221" spans="1:16" x14ac:dyDescent="0.2">
      <c r="A1221" s="60" t="s">
        <v>5439</v>
      </c>
      <c r="B1221" t="s">
        <v>5440</v>
      </c>
      <c r="C1221" t="s">
        <v>5441</v>
      </c>
      <c r="D1221" t="s">
        <v>2438</v>
      </c>
      <c r="F1221">
        <v>302663</v>
      </c>
      <c r="J1221">
        <v>1</v>
      </c>
      <c r="L1221" t="s">
        <v>876</v>
      </c>
      <c r="M1221" t="s">
        <v>876</v>
      </c>
      <c r="N1221" t="s">
        <v>876</v>
      </c>
      <c r="O1221" t="s">
        <v>876</v>
      </c>
      <c r="P1221" t="s">
        <v>876</v>
      </c>
    </row>
    <row r="1222" spans="1:16" x14ac:dyDescent="0.2">
      <c r="A1222" s="60" t="s">
        <v>5442</v>
      </c>
      <c r="B1222" t="s">
        <v>5443</v>
      </c>
      <c r="C1222" t="s">
        <v>5444</v>
      </c>
      <c r="D1222" t="s">
        <v>2438</v>
      </c>
      <c r="F1222">
        <v>302664</v>
      </c>
      <c r="J1222">
        <v>1</v>
      </c>
      <c r="L1222" t="s">
        <v>876</v>
      </c>
      <c r="M1222" t="s">
        <v>876</v>
      </c>
      <c r="N1222" t="s">
        <v>876</v>
      </c>
      <c r="O1222" t="s">
        <v>876</v>
      </c>
      <c r="P1222" t="s">
        <v>876</v>
      </c>
    </row>
    <row r="1223" spans="1:16" x14ac:dyDescent="0.2">
      <c r="A1223" s="60" t="s">
        <v>5445</v>
      </c>
      <c r="B1223" t="s">
        <v>5446</v>
      </c>
      <c r="C1223" t="s">
        <v>5447</v>
      </c>
      <c r="D1223" t="s">
        <v>2438</v>
      </c>
      <c r="F1223">
        <v>302665</v>
      </c>
      <c r="J1223">
        <v>1</v>
      </c>
      <c r="L1223" t="s">
        <v>876</v>
      </c>
      <c r="M1223" t="s">
        <v>876</v>
      </c>
      <c r="N1223" t="s">
        <v>876</v>
      </c>
      <c r="O1223" t="s">
        <v>876</v>
      </c>
      <c r="P1223" t="s">
        <v>876</v>
      </c>
    </row>
    <row r="1224" spans="1:16" x14ac:dyDescent="0.2">
      <c r="A1224" s="60" t="s">
        <v>5448</v>
      </c>
      <c r="B1224" t="s">
        <v>5449</v>
      </c>
      <c r="C1224" t="s">
        <v>5450</v>
      </c>
      <c r="D1224" t="s">
        <v>2438</v>
      </c>
      <c r="F1224">
        <v>302666</v>
      </c>
      <c r="J1224">
        <v>1</v>
      </c>
      <c r="L1224" t="s">
        <v>876</v>
      </c>
      <c r="M1224" t="s">
        <v>876</v>
      </c>
      <c r="N1224" t="s">
        <v>876</v>
      </c>
      <c r="O1224" t="s">
        <v>876</v>
      </c>
      <c r="P1224" t="s">
        <v>876</v>
      </c>
    </row>
    <row r="1225" spans="1:16" x14ac:dyDescent="0.2">
      <c r="A1225" s="60" t="s">
        <v>5451</v>
      </c>
      <c r="B1225" t="s">
        <v>5452</v>
      </c>
      <c r="C1225" t="s">
        <v>5453</v>
      </c>
      <c r="D1225" t="s">
        <v>2438</v>
      </c>
      <c r="F1225">
        <v>302667</v>
      </c>
      <c r="J1225">
        <v>1</v>
      </c>
      <c r="L1225" t="s">
        <v>876</v>
      </c>
      <c r="M1225" t="s">
        <v>876</v>
      </c>
      <c r="N1225" t="s">
        <v>876</v>
      </c>
      <c r="O1225" t="s">
        <v>876</v>
      </c>
      <c r="P1225" t="s">
        <v>876</v>
      </c>
    </row>
    <row r="1226" spans="1:16" x14ac:dyDescent="0.2">
      <c r="A1226" s="60" t="s">
        <v>5454</v>
      </c>
      <c r="B1226" t="s">
        <v>5455</v>
      </c>
      <c r="C1226" t="s">
        <v>5456</v>
      </c>
      <c r="D1226" t="s">
        <v>2438</v>
      </c>
      <c r="F1226">
        <v>302668</v>
      </c>
      <c r="J1226">
        <v>1</v>
      </c>
      <c r="L1226" t="s">
        <v>876</v>
      </c>
      <c r="M1226" t="s">
        <v>876</v>
      </c>
      <c r="N1226" t="s">
        <v>876</v>
      </c>
      <c r="O1226" t="s">
        <v>876</v>
      </c>
      <c r="P1226" t="s">
        <v>876</v>
      </c>
    </row>
    <row r="1227" spans="1:16" x14ac:dyDescent="0.2">
      <c r="A1227" s="60" t="s">
        <v>5457</v>
      </c>
      <c r="B1227" t="s">
        <v>5458</v>
      </c>
      <c r="C1227" t="s">
        <v>5459</v>
      </c>
      <c r="D1227" t="s">
        <v>2438</v>
      </c>
      <c r="F1227">
        <v>302669</v>
      </c>
      <c r="J1227">
        <v>1</v>
      </c>
      <c r="L1227" t="s">
        <v>876</v>
      </c>
      <c r="M1227" t="s">
        <v>876</v>
      </c>
      <c r="N1227" t="s">
        <v>876</v>
      </c>
      <c r="O1227" t="s">
        <v>876</v>
      </c>
      <c r="P1227" t="s">
        <v>876</v>
      </c>
    </row>
    <row r="1228" spans="1:16" x14ac:dyDescent="0.2">
      <c r="A1228" s="60" t="s">
        <v>5460</v>
      </c>
      <c r="B1228" t="s">
        <v>5461</v>
      </c>
      <c r="C1228" t="s">
        <v>5462</v>
      </c>
      <c r="D1228" t="s">
        <v>2438</v>
      </c>
      <c r="F1228">
        <v>302670</v>
      </c>
      <c r="J1228">
        <v>1</v>
      </c>
      <c r="L1228" t="s">
        <v>876</v>
      </c>
      <c r="M1228" t="s">
        <v>876</v>
      </c>
      <c r="N1228" t="s">
        <v>876</v>
      </c>
      <c r="O1228" t="s">
        <v>876</v>
      </c>
      <c r="P1228" t="s">
        <v>876</v>
      </c>
    </row>
    <row r="1229" spans="1:16" x14ac:dyDescent="0.2">
      <c r="A1229" s="60" t="s">
        <v>5463</v>
      </c>
      <c r="B1229" t="s">
        <v>5464</v>
      </c>
      <c r="C1229" t="s">
        <v>5465</v>
      </c>
      <c r="D1229" t="s">
        <v>2438</v>
      </c>
      <c r="F1229">
        <v>302671</v>
      </c>
      <c r="J1229">
        <v>1</v>
      </c>
      <c r="L1229" t="s">
        <v>876</v>
      </c>
      <c r="M1229" t="s">
        <v>876</v>
      </c>
      <c r="N1229" t="s">
        <v>876</v>
      </c>
      <c r="O1229" t="s">
        <v>876</v>
      </c>
      <c r="P1229" t="s">
        <v>876</v>
      </c>
    </row>
    <row r="1230" spans="1:16" x14ac:dyDescent="0.2">
      <c r="A1230" s="60" t="s">
        <v>5466</v>
      </c>
      <c r="B1230" t="s">
        <v>5467</v>
      </c>
      <c r="C1230" t="s">
        <v>5468</v>
      </c>
      <c r="D1230" t="s">
        <v>2438</v>
      </c>
      <c r="F1230">
        <v>302672</v>
      </c>
      <c r="J1230">
        <v>1</v>
      </c>
      <c r="L1230" t="s">
        <v>876</v>
      </c>
      <c r="M1230" t="s">
        <v>876</v>
      </c>
      <c r="N1230" t="s">
        <v>876</v>
      </c>
      <c r="O1230" t="s">
        <v>876</v>
      </c>
      <c r="P1230" t="s">
        <v>876</v>
      </c>
    </row>
    <row r="1231" spans="1:16" x14ac:dyDescent="0.2">
      <c r="A1231" s="60" t="s">
        <v>5469</v>
      </c>
      <c r="B1231" t="s">
        <v>5470</v>
      </c>
      <c r="C1231" t="s">
        <v>5471</v>
      </c>
      <c r="D1231" t="s">
        <v>2438</v>
      </c>
      <c r="F1231">
        <v>302673</v>
      </c>
      <c r="J1231">
        <v>1</v>
      </c>
      <c r="L1231" t="s">
        <v>876</v>
      </c>
      <c r="M1231" t="s">
        <v>876</v>
      </c>
      <c r="N1231" t="s">
        <v>876</v>
      </c>
      <c r="O1231" t="s">
        <v>876</v>
      </c>
      <c r="P1231" t="s">
        <v>876</v>
      </c>
    </row>
    <row r="1232" spans="1:16" x14ac:dyDescent="0.2">
      <c r="A1232" s="60" t="s">
        <v>5472</v>
      </c>
      <c r="B1232" t="s">
        <v>5473</v>
      </c>
      <c r="C1232" t="s">
        <v>5474</v>
      </c>
      <c r="D1232" t="s">
        <v>2438</v>
      </c>
      <c r="F1232">
        <v>302674</v>
      </c>
      <c r="J1232">
        <v>1</v>
      </c>
      <c r="L1232" t="s">
        <v>876</v>
      </c>
      <c r="M1232" t="s">
        <v>876</v>
      </c>
      <c r="N1232" t="s">
        <v>876</v>
      </c>
      <c r="O1232" t="s">
        <v>876</v>
      </c>
      <c r="P1232" t="s">
        <v>876</v>
      </c>
    </row>
    <row r="1233" spans="1:16" x14ac:dyDescent="0.2">
      <c r="A1233" s="60" t="s">
        <v>5475</v>
      </c>
      <c r="B1233" t="s">
        <v>5476</v>
      </c>
      <c r="C1233" t="s">
        <v>5477</v>
      </c>
      <c r="D1233" t="s">
        <v>2438</v>
      </c>
      <c r="F1233">
        <v>302675</v>
      </c>
      <c r="J1233">
        <v>1</v>
      </c>
      <c r="L1233" t="s">
        <v>876</v>
      </c>
      <c r="M1233" t="s">
        <v>876</v>
      </c>
      <c r="N1233" t="s">
        <v>876</v>
      </c>
      <c r="O1233" t="s">
        <v>876</v>
      </c>
      <c r="P1233" t="s">
        <v>876</v>
      </c>
    </row>
    <row r="1234" spans="1:16" x14ac:dyDescent="0.2">
      <c r="A1234" s="60" t="s">
        <v>5478</v>
      </c>
      <c r="B1234" t="s">
        <v>5479</v>
      </c>
      <c r="C1234" t="s">
        <v>5480</v>
      </c>
      <c r="D1234" t="s">
        <v>2438</v>
      </c>
      <c r="F1234">
        <v>302676</v>
      </c>
      <c r="J1234">
        <v>1</v>
      </c>
      <c r="L1234" t="s">
        <v>876</v>
      </c>
      <c r="M1234" t="s">
        <v>876</v>
      </c>
      <c r="N1234" t="s">
        <v>876</v>
      </c>
      <c r="O1234" t="s">
        <v>876</v>
      </c>
      <c r="P1234" t="s">
        <v>876</v>
      </c>
    </row>
    <row r="1235" spans="1:16" x14ac:dyDescent="0.2">
      <c r="A1235" s="60" t="s">
        <v>5481</v>
      </c>
      <c r="B1235" t="s">
        <v>5482</v>
      </c>
      <c r="C1235" t="s">
        <v>5483</v>
      </c>
      <c r="D1235" t="s">
        <v>2438</v>
      </c>
      <c r="F1235">
        <v>302677</v>
      </c>
      <c r="J1235">
        <v>1</v>
      </c>
      <c r="L1235" t="s">
        <v>876</v>
      </c>
      <c r="M1235" t="s">
        <v>876</v>
      </c>
      <c r="N1235" t="s">
        <v>876</v>
      </c>
      <c r="O1235" t="s">
        <v>876</v>
      </c>
      <c r="P1235" t="s">
        <v>876</v>
      </c>
    </row>
    <row r="1236" spans="1:16" x14ac:dyDescent="0.2">
      <c r="A1236" s="60" t="s">
        <v>5484</v>
      </c>
      <c r="B1236" t="s">
        <v>5485</v>
      </c>
      <c r="C1236" t="s">
        <v>5486</v>
      </c>
      <c r="D1236" t="s">
        <v>2438</v>
      </c>
      <c r="F1236">
        <v>302678</v>
      </c>
      <c r="J1236">
        <v>1</v>
      </c>
      <c r="L1236" t="s">
        <v>876</v>
      </c>
      <c r="M1236" t="s">
        <v>876</v>
      </c>
      <c r="N1236" t="s">
        <v>876</v>
      </c>
      <c r="O1236" t="s">
        <v>876</v>
      </c>
      <c r="P1236" t="s">
        <v>876</v>
      </c>
    </row>
    <row r="1237" spans="1:16" x14ac:dyDescent="0.2">
      <c r="A1237" s="60" t="s">
        <v>5487</v>
      </c>
      <c r="B1237" t="s">
        <v>5488</v>
      </c>
      <c r="C1237" t="s">
        <v>5489</v>
      </c>
      <c r="D1237" t="s">
        <v>2438</v>
      </c>
      <c r="F1237">
        <v>302679</v>
      </c>
      <c r="J1237">
        <v>1</v>
      </c>
      <c r="L1237" t="s">
        <v>876</v>
      </c>
      <c r="M1237" t="s">
        <v>876</v>
      </c>
      <c r="N1237" t="s">
        <v>876</v>
      </c>
      <c r="O1237" t="s">
        <v>876</v>
      </c>
      <c r="P1237" t="s">
        <v>876</v>
      </c>
    </row>
    <row r="1238" spans="1:16" x14ac:dyDescent="0.2">
      <c r="A1238" s="60" t="s">
        <v>5490</v>
      </c>
      <c r="B1238" t="s">
        <v>5491</v>
      </c>
      <c r="C1238" t="s">
        <v>5492</v>
      </c>
      <c r="D1238" t="s">
        <v>2438</v>
      </c>
      <c r="F1238">
        <v>302680</v>
      </c>
      <c r="J1238">
        <v>1</v>
      </c>
      <c r="L1238" t="s">
        <v>876</v>
      </c>
      <c r="M1238" t="s">
        <v>876</v>
      </c>
      <c r="N1238" t="s">
        <v>876</v>
      </c>
      <c r="O1238" t="s">
        <v>876</v>
      </c>
      <c r="P1238" t="s">
        <v>876</v>
      </c>
    </row>
    <row r="1239" spans="1:16" x14ac:dyDescent="0.2">
      <c r="A1239" s="60" t="s">
        <v>5493</v>
      </c>
      <c r="B1239" t="s">
        <v>5494</v>
      </c>
      <c r="C1239" t="s">
        <v>5495</v>
      </c>
      <c r="D1239" t="s">
        <v>2438</v>
      </c>
      <c r="F1239">
        <v>302681</v>
      </c>
      <c r="J1239">
        <v>1</v>
      </c>
      <c r="L1239" t="s">
        <v>876</v>
      </c>
      <c r="M1239" t="s">
        <v>876</v>
      </c>
      <c r="N1239" t="s">
        <v>876</v>
      </c>
      <c r="O1239" t="s">
        <v>876</v>
      </c>
      <c r="P1239" t="s">
        <v>876</v>
      </c>
    </row>
    <row r="1240" spans="1:16" x14ac:dyDescent="0.2">
      <c r="A1240" s="60" t="s">
        <v>5496</v>
      </c>
      <c r="B1240" t="s">
        <v>5497</v>
      </c>
      <c r="C1240" t="s">
        <v>5498</v>
      </c>
      <c r="D1240" t="s">
        <v>2438</v>
      </c>
      <c r="F1240">
        <v>302682</v>
      </c>
      <c r="J1240">
        <v>1</v>
      </c>
      <c r="L1240" t="s">
        <v>876</v>
      </c>
      <c r="M1240" t="s">
        <v>876</v>
      </c>
      <c r="N1240" t="s">
        <v>876</v>
      </c>
      <c r="O1240" t="s">
        <v>876</v>
      </c>
      <c r="P1240" t="s">
        <v>876</v>
      </c>
    </row>
    <row r="1241" spans="1:16" x14ac:dyDescent="0.2">
      <c r="A1241" s="60" t="s">
        <v>5499</v>
      </c>
      <c r="B1241" t="s">
        <v>5500</v>
      </c>
      <c r="C1241" t="s">
        <v>5501</v>
      </c>
      <c r="D1241" t="s">
        <v>2438</v>
      </c>
      <c r="F1241">
        <v>302683</v>
      </c>
      <c r="J1241">
        <v>1</v>
      </c>
      <c r="L1241" t="s">
        <v>876</v>
      </c>
      <c r="M1241" t="s">
        <v>876</v>
      </c>
      <c r="N1241" t="s">
        <v>876</v>
      </c>
      <c r="O1241" t="s">
        <v>876</v>
      </c>
      <c r="P1241" t="s">
        <v>876</v>
      </c>
    </row>
    <row r="1242" spans="1:16" x14ac:dyDescent="0.2">
      <c r="A1242" s="60" t="s">
        <v>5502</v>
      </c>
      <c r="B1242" t="s">
        <v>5503</v>
      </c>
      <c r="C1242" t="s">
        <v>5504</v>
      </c>
      <c r="D1242" t="s">
        <v>2438</v>
      </c>
      <c r="F1242">
        <v>302684</v>
      </c>
      <c r="J1242">
        <v>1</v>
      </c>
      <c r="L1242" t="s">
        <v>876</v>
      </c>
      <c r="M1242" t="s">
        <v>876</v>
      </c>
      <c r="N1242" t="s">
        <v>876</v>
      </c>
      <c r="O1242" t="s">
        <v>876</v>
      </c>
      <c r="P1242" t="s">
        <v>876</v>
      </c>
    </row>
    <row r="1243" spans="1:16" x14ac:dyDescent="0.2">
      <c r="A1243" s="60" t="s">
        <v>5505</v>
      </c>
      <c r="B1243" t="s">
        <v>5506</v>
      </c>
      <c r="C1243" t="s">
        <v>5507</v>
      </c>
      <c r="D1243" t="s">
        <v>2438</v>
      </c>
      <c r="F1243">
        <v>302685</v>
      </c>
      <c r="J1243">
        <v>1</v>
      </c>
      <c r="L1243" t="s">
        <v>876</v>
      </c>
      <c r="M1243" t="s">
        <v>876</v>
      </c>
      <c r="N1243" t="s">
        <v>876</v>
      </c>
      <c r="O1243" t="s">
        <v>876</v>
      </c>
      <c r="P1243" t="s">
        <v>876</v>
      </c>
    </row>
    <row r="1244" spans="1:16" x14ac:dyDescent="0.2">
      <c r="A1244" s="60" t="s">
        <v>5508</v>
      </c>
      <c r="B1244" t="s">
        <v>5509</v>
      </c>
      <c r="C1244" t="s">
        <v>5510</v>
      </c>
      <c r="D1244" t="s">
        <v>2438</v>
      </c>
      <c r="F1244">
        <v>302686</v>
      </c>
      <c r="J1244">
        <v>1</v>
      </c>
      <c r="L1244" t="s">
        <v>876</v>
      </c>
      <c r="M1244" t="s">
        <v>876</v>
      </c>
      <c r="N1244" t="s">
        <v>876</v>
      </c>
      <c r="O1244" t="s">
        <v>876</v>
      </c>
      <c r="P1244" t="s">
        <v>876</v>
      </c>
    </row>
    <row r="1245" spans="1:16" x14ac:dyDescent="0.2">
      <c r="A1245" s="60" t="s">
        <v>5511</v>
      </c>
      <c r="B1245" t="s">
        <v>5512</v>
      </c>
      <c r="C1245" t="s">
        <v>5513</v>
      </c>
      <c r="D1245" t="s">
        <v>869</v>
      </c>
      <c r="F1245">
        <v>302706</v>
      </c>
      <c r="J1245">
        <v>1</v>
      </c>
      <c r="L1245" t="s">
        <v>876</v>
      </c>
      <c r="M1245" t="s">
        <v>876</v>
      </c>
      <c r="N1245" t="s">
        <v>876</v>
      </c>
      <c r="O1245" t="s">
        <v>876</v>
      </c>
      <c r="P1245" t="s">
        <v>876</v>
      </c>
    </row>
    <row r="1246" spans="1:16" x14ac:dyDescent="0.2">
      <c r="A1246" s="60" t="s">
        <v>5514</v>
      </c>
      <c r="B1246" t="s">
        <v>5515</v>
      </c>
      <c r="C1246" t="s">
        <v>5516</v>
      </c>
      <c r="D1246" t="s">
        <v>869</v>
      </c>
      <c r="F1246">
        <v>302707</v>
      </c>
      <c r="J1246">
        <v>1</v>
      </c>
      <c r="L1246" t="s">
        <v>876</v>
      </c>
      <c r="M1246" t="s">
        <v>876</v>
      </c>
      <c r="N1246" t="s">
        <v>876</v>
      </c>
      <c r="O1246" t="s">
        <v>876</v>
      </c>
      <c r="P1246" t="s">
        <v>876</v>
      </c>
    </row>
    <row r="1247" spans="1:16" x14ac:dyDescent="0.2">
      <c r="A1247" s="60" t="s">
        <v>5517</v>
      </c>
      <c r="B1247" t="s">
        <v>5518</v>
      </c>
      <c r="C1247" t="s">
        <v>5519</v>
      </c>
      <c r="D1247" t="s">
        <v>869</v>
      </c>
      <c r="F1247">
        <v>302708</v>
      </c>
      <c r="J1247">
        <v>1</v>
      </c>
      <c r="L1247" t="s">
        <v>876</v>
      </c>
      <c r="M1247" t="s">
        <v>876</v>
      </c>
      <c r="N1247" t="s">
        <v>876</v>
      </c>
      <c r="O1247" t="s">
        <v>876</v>
      </c>
      <c r="P1247" t="s">
        <v>876</v>
      </c>
    </row>
    <row r="1248" spans="1:16" x14ac:dyDescent="0.2">
      <c r="A1248" s="60" t="s">
        <v>5520</v>
      </c>
      <c r="B1248" t="s">
        <v>5521</v>
      </c>
      <c r="C1248" t="s">
        <v>5522</v>
      </c>
      <c r="D1248" t="s">
        <v>869</v>
      </c>
      <c r="F1248">
        <v>302709</v>
      </c>
      <c r="J1248">
        <v>1</v>
      </c>
      <c r="L1248" t="s">
        <v>876</v>
      </c>
      <c r="M1248" t="s">
        <v>876</v>
      </c>
      <c r="N1248" t="s">
        <v>876</v>
      </c>
      <c r="O1248" t="s">
        <v>876</v>
      </c>
      <c r="P1248" t="s">
        <v>876</v>
      </c>
    </row>
    <row r="1249" spans="1:16" x14ac:dyDescent="0.2">
      <c r="A1249" s="60" t="s">
        <v>5523</v>
      </c>
      <c r="B1249" t="s">
        <v>5524</v>
      </c>
      <c r="C1249" t="s">
        <v>5525</v>
      </c>
      <c r="D1249" t="s">
        <v>869</v>
      </c>
      <c r="F1249">
        <v>302710</v>
      </c>
      <c r="J1249">
        <v>1</v>
      </c>
      <c r="L1249" t="s">
        <v>876</v>
      </c>
      <c r="M1249" t="s">
        <v>876</v>
      </c>
      <c r="N1249" t="s">
        <v>876</v>
      </c>
      <c r="O1249" t="s">
        <v>876</v>
      </c>
      <c r="P1249" t="s">
        <v>876</v>
      </c>
    </row>
    <row r="1250" spans="1:16" x14ac:dyDescent="0.2">
      <c r="A1250" s="60" t="s">
        <v>5526</v>
      </c>
      <c r="B1250" t="s">
        <v>5527</v>
      </c>
      <c r="C1250" t="s">
        <v>5528</v>
      </c>
      <c r="D1250" t="s">
        <v>869</v>
      </c>
      <c r="F1250">
        <v>302711</v>
      </c>
      <c r="J1250">
        <v>1</v>
      </c>
      <c r="L1250" t="s">
        <v>876</v>
      </c>
      <c r="M1250" t="s">
        <v>876</v>
      </c>
      <c r="N1250" t="s">
        <v>876</v>
      </c>
      <c r="O1250" t="s">
        <v>876</v>
      </c>
      <c r="P1250" t="s">
        <v>876</v>
      </c>
    </row>
    <row r="1251" spans="1:16" x14ac:dyDescent="0.2">
      <c r="A1251" s="60" t="s">
        <v>5529</v>
      </c>
      <c r="B1251" t="s">
        <v>5530</v>
      </c>
      <c r="C1251" t="s">
        <v>5531</v>
      </c>
      <c r="D1251" t="s">
        <v>869</v>
      </c>
      <c r="F1251">
        <v>302712</v>
      </c>
      <c r="J1251">
        <v>1</v>
      </c>
      <c r="L1251" t="s">
        <v>876</v>
      </c>
      <c r="M1251" t="s">
        <v>876</v>
      </c>
      <c r="N1251" t="s">
        <v>876</v>
      </c>
      <c r="O1251" t="s">
        <v>876</v>
      </c>
      <c r="P1251" t="s">
        <v>876</v>
      </c>
    </row>
    <row r="1252" spans="1:16" x14ac:dyDescent="0.2">
      <c r="A1252" s="60" t="s">
        <v>4138</v>
      </c>
      <c r="B1252" t="s">
        <v>5532</v>
      </c>
      <c r="C1252" t="s">
        <v>5533</v>
      </c>
      <c r="D1252" t="s">
        <v>869</v>
      </c>
      <c r="F1252">
        <v>302713</v>
      </c>
      <c r="J1252">
        <v>1</v>
      </c>
      <c r="L1252" t="s">
        <v>876</v>
      </c>
      <c r="M1252" t="s">
        <v>876</v>
      </c>
      <c r="N1252" t="s">
        <v>876</v>
      </c>
      <c r="O1252" t="s">
        <v>876</v>
      </c>
      <c r="P1252" t="s">
        <v>876</v>
      </c>
    </row>
    <row r="1253" spans="1:16" x14ac:dyDescent="0.2">
      <c r="A1253" s="60" t="s">
        <v>3814</v>
      </c>
      <c r="B1253" t="s">
        <v>5534</v>
      </c>
      <c r="C1253" t="s">
        <v>5535</v>
      </c>
      <c r="D1253" t="s">
        <v>869</v>
      </c>
      <c r="F1253">
        <v>302714</v>
      </c>
      <c r="J1253">
        <v>1</v>
      </c>
      <c r="L1253" t="s">
        <v>876</v>
      </c>
      <c r="M1253" t="s">
        <v>876</v>
      </c>
      <c r="N1253" t="s">
        <v>876</v>
      </c>
      <c r="O1253" t="s">
        <v>876</v>
      </c>
      <c r="P1253" t="s">
        <v>876</v>
      </c>
    </row>
    <row r="1254" spans="1:16" x14ac:dyDescent="0.2">
      <c r="A1254" s="60" t="s">
        <v>5536</v>
      </c>
      <c r="B1254" t="s">
        <v>5537</v>
      </c>
      <c r="C1254" t="s">
        <v>5538</v>
      </c>
      <c r="D1254" t="s">
        <v>869</v>
      </c>
      <c r="F1254">
        <v>302715</v>
      </c>
      <c r="J1254">
        <v>1</v>
      </c>
      <c r="L1254" t="s">
        <v>876</v>
      </c>
      <c r="M1254" t="s">
        <v>876</v>
      </c>
      <c r="N1254" t="s">
        <v>876</v>
      </c>
      <c r="O1254" t="s">
        <v>876</v>
      </c>
      <c r="P1254" t="s">
        <v>876</v>
      </c>
    </row>
    <row r="1255" spans="1:16" x14ac:dyDescent="0.2">
      <c r="A1255" s="60" t="s">
        <v>5539</v>
      </c>
      <c r="B1255" t="s">
        <v>5540</v>
      </c>
      <c r="C1255" t="s">
        <v>5541</v>
      </c>
      <c r="D1255" t="s">
        <v>869</v>
      </c>
      <c r="F1255">
        <v>302716</v>
      </c>
      <c r="J1255">
        <v>1</v>
      </c>
      <c r="L1255" t="s">
        <v>876</v>
      </c>
      <c r="M1255" t="s">
        <v>876</v>
      </c>
      <c r="N1255" t="s">
        <v>876</v>
      </c>
      <c r="O1255" t="s">
        <v>876</v>
      </c>
      <c r="P1255" t="s">
        <v>876</v>
      </c>
    </row>
    <row r="1256" spans="1:16" x14ac:dyDescent="0.2">
      <c r="A1256" s="60" t="s">
        <v>1619</v>
      </c>
      <c r="B1256" t="s">
        <v>5542</v>
      </c>
      <c r="C1256" t="s">
        <v>5543</v>
      </c>
      <c r="D1256" t="s">
        <v>869</v>
      </c>
      <c r="F1256">
        <v>302717</v>
      </c>
      <c r="J1256">
        <v>1</v>
      </c>
      <c r="L1256" t="s">
        <v>876</v>
      </c>
      <c r="M1256" t="s">
        <v>876</v>
      </c>
      <c r="N1256" t="s">
        <v>876</v>
      </c>
      <c r="O1256" t="s">
        <v>876</v>
      </c>
      <c r="P1256" t="s">
        <v>876</v>
      </c>
    </row>
    <row r="1257" spans="1:16" x14ac:dyDescent="0.2">
      <c r="A1257" s="60" t="s">
        <v>1624</v>
      </c>
      <c r="B1257" t="s">
        <v>5544</v>
      </c>
      <c r="C1257" t="s">
        <v>5545</v>
      </c>
      <c r="D1257" t="s">
        <v>869</v>
      </c>
      <c r="F1257">
        <v>302718</v>
      </c>
      <c r="J1257">
        <v>1</v>
      </c>
      <c r="L1257" t="s">
        <v>876</v>
      </c>
      <c r="M1257" t="s">
        <v>876</v>
      </c>
      <c r="N1257" t="s">
        <v>876</v>
      </c>
      <c r="O1257" t="s">
        <v>876</v>
      </c>
      <c r="P1257" t="s">
        <v>876</v>
      </c>
    </row>
    <row r="1258" spans="1:16" x14ac:dyDescent="0.2">
      <c r="A1258" s="60" t="s">
        <v>1632</v>
      </c>
      <c r="B1258" t="s">
        <v>5546</v>
      </c>
      <c r="C1258" t="s">
        <v>5547</v>
      </c>
      <c r="D1258" t="s">
        <v>869</v>
      </c>
      <c r="F1258">
        <v>302719</v>
      </c>
      <c r="J1258">
        <v>1</v>
      </c>
      <c r="L1258" t="s">
        <v>876</v>
      </c>
      <c r="M1258" t="s">
        <v>876</v>
      </c>
      <c r="N1258" t="s">
        <v>876</v>
      </c>
      <c r="O1258" t="s">
        <v>876</v>
      </c>
      <c r="P1258" t="s">
        <v>876</v>
      </c>
    </row>
    <row r="1259" spans="1:16" x14ac:dyDescent="0.2">
      <c r="A1259" s="60" t="s">
        <v>5548</v>
      </c>
      <c r="B1259" t="s">
        <v>5549</v>
      </c>
      <c r="C1259" t="s">
        <v>5550</v>
      </c>
      <c r="D1259" t="s">
        <v>869</v>
      </c>
      <c r="F1259">
        <v>302720</v>
      </c>
      <c r="J1259">
        <v>1</v>
      </c>
      <c r="L1259" t="s">
        <v>876</v>
      </c>
      <c r="M1259" t="s">
        <v>876</v>
      </c>
      <c r="N1259" t="s">
        <v>876</v>
      </c>
      <c r="O1259" t="s">
        <v>876</v>
      </c>
      <c r="P1259" t="s">
        <v>876</v>
      </c>
    </row>
    <row r="1260" spans="1:16" x14ac:dyDescent="0.2">
      <c r="A1260" s="60" t="s">
        <v>1637</v>
      </c>
      <c r="B1260" t="s">
        <v>5551</v>
      </c>
      <c r="C1260" t="s">
        <v>5552</v>
      </c>
      <c r="D1260" t="s">
        <v>869</v>
      </c>
      <c r="F1260">
        <v>302721</v>
      </c>
      <c r="J1260">
        <v>1</v>
      </c>
      <c r="L1260" t="s">
        <v>876</v>
      </c>
      <c r="M1260" t="s">
        <v>876</v>
      </c>
      <c r="N1260" t="s">
        <v>876</v>
      </c>
      <c r="O1260" t="s">
        <v>876</v>
      </c>
      <c r="P1260" t="s">
        <v>876</v>
      </c>
    </row>
    <row r="1261" spans="1:16" x14ac:dyDescent="0.2">
      <c r="A1261" s="60" t="s">
        <v>1642</v>
      </c>
      <c r="B1261" t="s">
        <v>5553</v>
      </c>
      <c r="C1261" t="s">
        <v>5554</v>
      </c>
      <c r="D1261" t="s">
        <v>869</v>
      </c>
      <c r="F1261">
        <v>302722</v>
      </c>
      <c r="J1261">
        <v>1</v>
      </c>
      <c r="L1261" t="s">
        <v>876</v>
      </c>
      <c r="M1261" t="s">
        <v>876</v>
      </c>
      <c r="N1261" t="s">
        <v>876</v>
      </c>
      <c r="O1261" t="s">
        <v>876</v>
      </c>
      <c r="P1261" t="s">
        <v>876</v>
      </c>
    </row>
    <row r="1262" spans="1:16" x14ac:dyDescent="0.2">
      <c r="A1262" s="60" t="s">
        <v>5555</v>
      </c>
      <c r="B1262" t="s">
        <v>5556</v>
      </c>
      <c r="C1262" t="s">
        <v>5557</v>
      </c>
      <c r="D1262" t="s">
        <v>869</v>
      </c>
      <c r="F1262">
        <v>302723</v>
      </c>
      <c r="J1262">
        <v>1</v>
      </c>
      <c r="L1262" t="s">
        <v>876</v>
      </c>
      <c r="M1262" t="s">
        <v>876</v>
      </c>
      <c r="N1262" t="s">
        <v>876</v>
      </c>
      <c r="O1262" t="s">
        <v>876</v>
      </c>
      <c r="P1262" t="s">
        <v>876</v>
      </c>
    </row>
    <row r="1263" spans="1:16" x14ac:dyDescent="0.2">
      <c r="A1263" s="60" t="s">
        <v>5558</v>
      </c>
      <c r="B1263" t="s">
        <v>5559</v>
      </c>
      <c r="C1263" t="s">
        <v>5560</v>
      </c>
      <c r="D1263" t="s">
        <v>869</v>
      </c>
      <c r="F1263">
        <v>302724</v>
      </c>
      <c r="J1263">
        <v>1</v>
      </c>
      <c r="L1263" t="s">
        <v>876</v>
      </c>
      <c r="M1263" t="s">
        <v>876</v>
      </c>
      <c r="N1263" t="s">
        <v>876</v>
      </c>
      <c r="O1263" t="s">
        <v>876</v>
      </c>
      <c r="P1263" t="s">
        <v>876</v>
      </c>
    </row>
    <row r="1264" spans="1:16" x14ac:dyDescent="0.2">
      <c r="A1264" s="60" t="s">
        <v>3312</v>
      </c>
      <c r="B1264" t="s">
        <v>5561</v>
      </c>
      <c r="C1264" t="s">
        <v>5562</v>
      </c>
      <c r="D1264" t="s">
        <v>869</v>
      </c>
      <c r="F1264">
        <v>302725</v>
      </c>
      <c r="J1264">
        <v>1</v>
      </c>
      <c r="L1264" t="s">
        <v>876</v>
      </c>
      <c r="M1264" t="s">
        <v>876</v>
      </c>
      <c r="N1264" t="s">
        <v>876</v>
      </c>
      <c r="O1264" t="s">
        <v>876</v>
      </c>
      <c r="P1264" t="s">
        <v>876</v>
      </c>
    </row>
    <row r="1265" spans="1:16" x14ac:dyDescent="0.2">
      <c r="A1265" s="60" t="s">
        <v>5563</v>
      </c>
      <c r="B1265" t="s">
        <v>5564</v>
      </c>
      <c r="C1265" t="s">
        <v>5565</v>
      </c>
      <c r="D1265" t="s">
        <v>869</v>
      </c>
      <c r="F1265">
        <v>302726</v>
      </c>
      <c r="J1265">
        <v>1</v>
      </c>
      <c r="L1265" t="s">
        <v>876</v>
      </c>
      <c r="M1265" t="s">
        <v>876</v>
      </c>
      <c r="N1265" t="s">
        <v>876</v>
      </c>
      <c r="O1265" t="s">
        <v>876</v>
      </c>
      <c r="P1265" t="s">
        <v>876</v>
      </c>
    </row>
    <row r="1266" spans="1:16" x14ac:dyDescent="0.2">
      <c r="A1266" s="60" t="s">
        <v>1667</v>
      </c>
      <c r="B1266" t="s">
        <v>5566</v>
      </c>
      <c r="C1266" t="s">
        <v>5567</v>
      </c>
      <c r="D1266" t="s">
        <v>869</v>
      </c>
      <c r="F1266">
        <v>302727</v>
      </c>
      <c r="J1266">
        <v>1</v>
      </c>
      <c r="L1266" t="s">
        <v>876</v>
      </c>
      <c r="M1266" t="s">
        <v>876</v>
      </c>
      <c r="N1266" t="s">
        <v>876</v>
      </c>
      <c r="O1266" t="s">
        <v>876</v>
      </c>
      <c r="P1266" t="s">
        <v>876</v>
      </c>
    </row>
    <row r="1267" spans="1:16" x14ac:dyDescent="0.2">
      <c r="A1267" s="60" t="s">
        <v>939</v>
      </c>
      <c r="B1267" t="s">
        <v>5568</v>
      </c>
      <c r="C1267" t="s">
        <v>5569</v>
      </c>
      <c r="D1267" t="s">
        <v>869</v>
      </c>
      <c r="F1267">
        <v>302728</v>
      </c>
      <c r="J1267">
        <v>1</v>
      </c>
      <c r="L1267" t="s">
        <v>876</v>
      </c>
      <c r="M1267" t="s">
        <v>876</v>
      </c>
      <c r="N1267" t="s">
        <v>876</v>
      </c>
      <c r="O1267" t="s">
        <v>876</v>
      </c>
      <c r="P1267" t="s">
        <v>876</v>
      </c>
    </row>
    <row r="1268" spans="1:16" x14ac:dyDescent="0.2">
      <c r="A1268" s="60" t="s">
        <v>708</v>
      </c>
      <c r="B1268" t="s">
        <v>5570</v>
      </c>
      <c r="C1268" t="s">
        <v>5571</v>
      </c>
      <c r="D1268" t="s">
        <v>869</v>
      </c>
      <c r="F1268">
        <v>302729</v>
      </c>
      <c r="J1268">
        <v>1</v>
      </c>
      <c r="L1268" t="s">
        <v>876</v>
      </c>
      <c r="M1268" t="s">
        <v>876</v>
      </c>
      <c r="N1268" t="s">
        <v>876</v>
      </c>
      <c r="O1268" t="s">
        <v>876</v>
      </c>
      <c r="P1268" t="s">
        <v>876</v>
      </c>
    </row>
    <row r="1269" spans="1:16" x14ac:dyDescent="0.2">
      <c r="A1269" s="60" t="s">
        <v>5572</v>
      </c>
      <c r="B1269" t="s">
        <v>5573</v>
      </c>
      <c r="C1269" t="s">
        <v>5574</v>
      </c>
      <c r="D1269" t="s">
        <v>869</v>
      </c>
      <c r="F1269">
        <v>302730</v>
      </c>
      <c r="J1269">
        <v>1</v>
      </c>
      <c r="L1269" t="s">
        <v>876</v>
      </c>
      <c r="M1269" t="s">
        <v>876</v>
      </c>
      <c r="N1269" t="s">
        <v>876</v>
      </c>
      <c r="O1269" t="s">
        <v>876</v>
      </c>
      <c r="P1269" t="s">
        <v>876</v>
      </c>
    </row>
    <row r="1270" spans="1:16" x14ac:dyDescent="0.2">
      <c r="A1270" s="60" t="s">
        <v>5575</v>
      </c>
      <c r="B1270" t="s">
        <v>5576</v>
      </c>
      <c r="C1270" t="s">
        <v>5577</v>
      </c>
      <c r="D1270" t="s">
        <v>869</v>
      </c>
      <c r="F1270">
        <v>302731</v>
      </c>
      <c r="J1270">
        <v>1</v>
      </c>
      <c r="L1270" t="s">
        <v>876</v>
      </c>
      <c r="M1270" t="s">
        <v>876</v>
      </c>
      <c r="N1270" t="s">
        <v>876</v>
      </c>
      <c r="O1270" t="s">
        <v>876</v>
      </c>
      <c r="P1270" t="s">
        <v>876</v>
      </c>
    </row>
    <row r="1271" spans="1:16" x14ac:dyDescent="0.2">
      <c r="A1271" s="60" t="s">
        <v>5578</v>
      </c>
      <c r="B1271" t="s">
        <v>5579</v>
      </c>
      <c r="C1271" t="s">
        <v>5580</v>
      </c>
      <c r="D1271" t="s">
        <v>869</v>
      </c>
      <c r="F1271">
        <v>302732</v>
      </c>
      <c r="J1271">
        <v>1</v>
      </c>
      <c r="L1271" t="s">
        <v>876</v>
      </c>
      <c r="M1271" t="s">
        <v>876</v>
      </c>
      <c r="N1271" t="s">
        <v>876</v>
      </c>
      <c r="O1271" t="s">
        <v>876</v>
      </c>
      <c r="P1271" t="s">
        <v>876</v>
      </c>
    </row>
    <row r="1272" spans="1:16" x14ac:dyDescent="0.2">
      <c r="A1272" s="60" t="s">
        <v>5581</v>
      </c>
      <c r="B1272" t="s">
        <v>5582</v>
      </c>
      <c r="C1272" t="s">
        <v>5583</v>
      </c>
      <c r="D1272" t="s">
        <v>869</v>
      </c>
      <c r="F1272">
        <v>302733</v>
      </c>
      <c r="J1272">
        <v>1</v>
      </c>
      <c r="L1272" t="s">
        <v>876</v>
      </c>
      <c r="M1272" t="s">
        <v>876</v>
      </c>
      <c r="N1272" t="s">
        <v>876</v>
      </c>
      <c r="O1272" t="s">
        <v>876</v>
      </c>
      <c r="P1272" t="s">
        <v>876</v>
      </c>
    </row>
    <row r="1273" spans="1:16" x14ac:dyDescent="0.2">
      <c r="A1273" s="60" t="s">
        <v>5584</v>
      </c>
      <c r="B1273" t="s">
        <v>5585</v>
      </c>
      <c r="C1273" t="s">
        <v>5586</v>
      </c>
      <c r="D1273" t="s">
        <v>869</v>
      </c>
      <c r="F1273">
        <v>302734</v>
      </c>
      <c r="J1273">
        <v>1</v>
      </c>
      <c r="L1273" t="s">
        <v>876</v>
      </c>
      <c r="M1273" t="s">
        <v>876</v>
      </c>
      <c r="N1273" t="s">
        <v>876</v>
      </c>
      <c r="O1273" t="s">
        <v>876</v>
      </c>
      <c r="P1273" t="s">
        <v>876</v>
      </c>
    </row>
    <row r="1274" spans="1:16" x14ac:dyDescent="0.2">
      <c r="A1274" s="60" t="s">
        <v>5587</v>
      </c>
      <c r="B1274" t="s">
        <v>5588</v>
      </c>
      <c r="C1274" t="s">
        <v>5589</v>
      </c>
      <c r="D1274" t="s">
        <v>869</v>
      </c>
      <c r="F1274">
        <v>302735</v>
      </c>
      <c r="J1274">
        <v>1</v>
      </c>
      <c r="L1274" t="s">
        <v>876</v>
      </c>
      <c r="M1274" t="s">
        <v>876</v>
      </c>
      <c r="N1274" t="s">
        <v>876</v>
      </c>
      <c r="O1274" t="s">
        <v>876</v>
      </c>
      <c r="P1274" t="s">
        <v>876</v>
      </c>
    </row>
    <row r="1275" spans="1:16" x14ac:dyDescent="0.2">
      <c r="A1275" s="60" t="s">
        <v>5590</v>
      </c>
      <c r="B1275" t="s">
        <v>5591</v>
      </c>
      <c r="C1275" t="s">
        <v>5592</v>
      </c>
      <c r="D1275" t="s">
        <v>869</v>
      </c>
      <c r="F1275">
        <v>302736</v>
      </c>
      <c r="J1275">
        <v>1</v>
      </c>
      <c r="L1275" t="s">
        <v>876</v>
      </c>
      <c r="M1275" t="s">
        <v>876</v>
      </c>
      <c r="N1275" t="s">
        <v>876</v>
      </c>
      <c r="O1275" t="s">
        <v>876</v>
      </c>
      <c r="P1275" t="s">
        <v>876</v>
      </c>
    </row>
    <row r="1276" spans="1:16" x14ac:dyDescent="0.2">
      <c r="A1276" s="60" t="s">
        <v>5593</v>
      </c>
      <c r="B1276" t="s">
        <v>5594</v>
      </c>
      <c r="C1276" t="s">
        <v>5595</v>
      </c>
      <c r="D1276" t="s">
        <v>869</v>
      </c>
      <c r="F1276">
        <v>302737</v>
      </c>
      <c r="J1276">
        <v>1</v>
      </c>
      <c r="L1276" t="s">
        <v>876</v>
      </c>
      <c r="M1276" t="s">
        <v>876</v>
      </c>
      <c r="N1276" t="s">
        <v>876</v>
      </c>
      <c r="O1276" t="s">
        <v>876</v>
      </c>
      <c r="P1276" t="s">
        <v>876</v>
      </c>
    </row>
    <row r="1277" spans="1:16" x14ac:dyDescent="0.2">
      <c r="A1277" s="60" t="s">
        <v>5596</v>
      </c>
      <c r="B1277" t="s">
        <v>5597</v>
      </c>
      <c r="C1277" t="s">
        <v>5598</v>
      </c>
      <c r="D1277" t="s">
        <v>869</v>
      </c>
      <c r="F1277">
        <v>302738</v>
      </c>
      <c r="J1277">
        <v>1</v>
      </c>
      <c r="L1277" t="s">
        <v>876</v>
      </c>
      <c r="M1277" t="s">
        <v>876</v>
      </c>
      <c r="N1277" t="s">
        <v>876</v>
      </c>
      <c r="O1277" t="s">
        <v>876</v>
      </c>
      <c r="P1277" t="s">
        <v>876</v>
      </c>
    </row>
    <row r="1278" spans="1:16" x14ac:dyDescent="0.2">
      <c r="A1278" s="60" t="s">
        <v>4626</v>
      </c>
      <c r="B1278" t="s">
        <v>5599</v>
      </c>
      <c r="C1278" t="s">
        <v>5600</v>
      </c>
      <c r="D1278" t="s">
        <v>5601</v>
      </c>
      <c r="F1278">
        <v>302739</v>
      </c>
      <c r="J1278">
        <v>1</v>
      </c>
      <c r="L1278" t="s">
        <v>876</v>
      </c>
      <c r="M1278" t="s">
        <v>876</v>
      </c>
      <c r="N1278" t="s">
        <v>876</v>
      </c>
      <c r="O1278" t="s">
        <v>876</v>
      </c>
      <c r="P1278" t="s">
        <v>876</v>
      </c>
    </row>
    <row r="1279" spans="1:16" x14ac:dyDescent="0.2">
      <c r="A1279" s="60" t="s">
        <v>5602</v>
      </c>
      <c r="B1279" t="s">
        <v>5603</v>
      </c>
      <c r="C1279" t="s">
        <v>5604</v>
      </c>
      <c r="D1279" t="s">
        <v>1465</v>
      </c>
      <c r="F1279">
        <v>302740</v>
      </c>
      <c r="J1279">
        <v>1</v>
      </c>
      <c r="L1279" t="s">
        <v>876</v>
      </c>
      <c r="M1279" t="s">
        <v>876</v>
      </c>
      <c r="N1279" t="s">
        <v>876</v>
      </c>
      <c r="O1279" t="s">
        <v>876</v>
      </c>
      <c r="P1279" t="s">
        <v>876</v>
      </c>
    </row>
    <row r="1280" spans="1:16" x14ac:dyDescent="0.2">
      <c r="A1280" s="60" t="s">
        <v>5605</v>
      </c>
      <c r="B1280" t="s">
        <v>5606</v>
      </c>
      <c r="C1280" t="s">
        <v>5607</v>
      </c>
      <c r="D1280" t="s">
        <v>869</v>
      </c>
      <c r="F1280">
        <v>302741</v>
      </c>
      <c r="J1280">
        <v>1</v>
      </c>
      <c r="L1280" t="s">
        <v>876</v>
      </c>
      <c r="M1280" t="s">
        <v>876</v>
      </c>
      <c r="N1280" t="s">
        <v>876</v>
      </c>
      <c r="O1280" t="s">
        <v>876</v>
      </c>
      <c r="P1280" t="s">
        <v>876</v>
      </c>
    </row>
    <row r="1281" spans="1:17" x14ac:dyDescent="0.2">
      <c r="A1281" s="60" t="s">
        <v>3148</v>
      </c>
      <c r="B1281" t="s">
        <v>5608</v>
      </c>
      <c r="C1281" t="s">
        <v>5609</v>
      </c>
      <c r="D1281" t="s">
        <v>869</v>
      </c>
      <c r="F1281">
        <v>302742</v>
      </c>
      <c r="J1281">
        <v>1</v>
      </c>
      <c r="L1281" t="s">
        <v>876</v>
      </c>
      <c r="M1281" t="s">
        <v>876</v>
      </c>
      <c r="N1281" t="s">
        <v>876</v>
      </c>
      <c r="O1281" t="s">
        <v>876</v>
      </c>
      <c r="P1281" t="s">
        <v>876</v>
      </c>
    </row>
    <row r="1282" spans="1:17" x14ac:dyDescent="0.2">
      <c r="A1282" s="60" t="s">
        <v>5610</v>
      </c>
      <c r="B1282" t="s">
        <v>5611</v>
      </c>
      <c r="C1282" t="s">
        <v>5612</v>
      </c>
      <c r="D1282" t="s">
        <v>869</v>
      </c>
      <c r="F1282">
        <v>302751</v>
      </c>
      <c r="J1282">
        <v>1</v>
      </c>
      <c r="L1282" t="s">
        <v>876</v>
      </c>
      <c r="M1282" t="s">
        <v>876</v>
      </c>
      <c r="N1282" t="s">
        <v>876</v>
      </c>
      <c r="O1282" t="s">
        <v>876</v>
      </c>
      <c r="P1282" t="s">
        <v>876</v>
      </c>
      <c r="Q1282">
        <v>1</v>
      </c>
    </row>
    <row r="1283" spans="1:17" x14ac:dyDescent="0.2">
      <c r="A1283" s="60" t="s">
        <v>5613</v>
      </c>
      <c r="B1283" t="s">
        <v>5614</v>
      </c>
      <c r="C1283" t="s">
        <v>5615</v>
      </c>
      <c r="D1283" t="s">
        <v>869</v>
      </c>
      <c r="F1283">
        <v>302752</v>
      </c>
      <c r="J1283">
        <v>1</v>
      </c>
      <c r="L1283" t="s">
        <v>876</v>
      </c>
      <c r="M1283" t="s">
        <v>876</v>
      </c>
      <c r="N1283" t="s">
        <v>876</v>
      </c>
      <c r="O1283" t="s">
        <v>876</v>
      </c>
      <c r="P1283" t="s">
        <v>876</v>
      </c>
    </row>
    <row r="1284" spans="1:17" x14ac:dyDescent="0.2">
      <c r="A1284" s="60" t="s">
        <v>5616</v>
      </c>
      <c r="B1284" t="s">
        <v>5617</v>
      </c>
      <c r="C1284" t="s">
        <v>5618</v>
      </c>
      <c r="D1284" t="s">
        <v>869</v>
      </c>
      <c r="F1284">
        <v>302753</v>
      </c>
      <c r="J1284">
        <v>1</v>
      </c>
      <c r="L1284" t="s">
        <v>876</v>
      </c>
      <c r="M1284" t="s">
        <v>876</v>
      </c>
      <c r="N1284" t="s">
        <v>876</v>
      </c>
      <c r="O1284" t="s">
        <v>876</v>
      </c>
      <c r="P1284" t="s">
        <v>876</v>
      </c>
    </row>
    <row r="1285" spans="1:17" x14ac:dyDescent="0.2">
      <c r="A1285" s="60" t="s">
        <v>5619</v>
      </c>
      <c r="B1285" t="s">
        <v>5620</v>
      </c>
      <c r="C1285" t="s">
        <v>5621</v>
      </c>
      <c r="D1285" t="s">
        <v>869</v>
      </c>
      <c r="F1285">
        <v>302754</v>
      </c>
      <c r="J1285">
        <v>1</v>
      </c>
      <c r="L1285" t="s">
        <v>876</v>
      </c>
      <c r="M1285" t="s">
        <v>876</v>
      </c>
      <c r="N1285" t="s">
        <v>876</v>
      </c>
      <c r="O1285" t="s">
        <v>876</v>
      </c>
      <c r="P1285" t="s">
        <v>876</v>
      </c>
    </row>
    <row r="1286" spans="1:17" x14ac:dyDescent="0.2">
      <c r="A1286" s="60" t="s">
        <v>5622</v>
      </c>
      <c r="B1286" t="s">
        <v>5623</v>
      </c>
      <c r="C1286" t="s">
        <v>5624</v>
      </c>
      <c r="D1286" t="s">
        <v>869</v>
      </c>
      <c r="F1286">
        <v>302755</v>
      </c>
      <c r="J1286">
        <v>1</v>
      </c>
      <c r="L1286" t="s">
        <v>876</v>
      </c>
      <c r="M1286" t="s">
        <v>876</v>
      </c>
      <c r="N1286" t="s">
        <v>876</v>
      </c>
      <c r="O1286" t="s">
        <v>876</v>
      </c>
      <c r="P1286" t="s">
        <v>876</v>
      </c>
    </row>
    <row r="1287" spans="1:17" x14ac:dyDescent="0.2">
      <c r="A1287" s="60" t="s">
        <v>5625</v>
      </c>
      <c r="B1287" t="s">
        <v>5626</v>
      </c>
      <c r="C1287" t="s">
        <v>5627</v>
      </c>
      <c r="D1287" t="s">
        <v>869</v>
      </c>
      <c r="F1287">
        <v>302756</v>
      </c>
      <c r="J1287">
        <v>1</v>
      </c>
      <c r="L1287" t="s">
        <v>876</v>
      </c>
      <c r="M1287" t="s">
        <v>876</v>
      </c>
      <c r="N1287" t="s">
        <v>876</v>
      </c>
      <c r="O1287" t="s">
        <v>876</v>
      </c>
      <c r="P1287" t="s">
        <v>876</v>
      </c>
    </row>
    <row r="1288" spans="1:17" x14ac:dyDescent="0.2">
      <c r="A1288" s="60" t="s">
        <v>5628</v>
      </c>
      <c r="B1288" t="s">
        <v>5629</v>
      </c>
      <c r="C1288" t="s">
        <v>5630</v>
      </c>
      <c r="D1288" t="s">
        <v>869</v>
      </c>
      <c r="F1288">
        <v>302757</v>
      </c>
      <c r="J1288">
        <v>1</v>
      </c>
      <c r="L1288" t="s">
        <v>876</v>
      </c>
      <c r="M1288" t="s">
        <v>876</v>
      </c>
      <c r="N1288" t="s">
        <v>876</v>
      </c>
      <c r="O1288" t="s">
        <v>876</v>
      </c>
      <c r="P1288" t="s">
        <v>876</v>
      </c>
    </row>
    <row r="1289" spans="1:17" x14ac:dyDescent="0.2">
      <c r="A1289" s="60" t="s">
        <v>5631</v>
      </c>
      <c r="B1289" t="s">
        <v>5632</v>
      </c>
      <c r="C1289" t="s">
        <v>5633</v>
      </c>
      <c r="D1289" t="s">
        <v>869</v>
      </c>
      <c r="F1289">
        <v>302758</v>
      </c>
      <c r="J1289">
        <v>1</v>
      </c>
      <c r="L1289" t="s">
        <v>876</v>
      </c>
      <c r="M1289" t="s">
        <v>876</v>
      </c>
      <c r="N1289" t="s">
        <v>876</v>
      </c>
      <c r="O1289" t="s">
        <v>876</v>
      </c>
      <c r="P1289" t="s">
        <v>876</v>
      </c>
    </row>
    <row r="1290" spans="1:17" x14ac:dyDescent="0.2">
      <c r="A1290" s="60" t="s">
        <v>5634</v>
      </c>
      <c r="B1290" t="s">
        <v>5635</v>
      </c>
      <c r="C1290" t="s">
        <v>5636</v>
      </c>
      <c r="D1290" t="s">
        <v>869</v>
      </c>
      <c r="F1290">
        <v>302759</v>
      </c>
      <c r="J1290">
        <v>1</v>
      </c>
      <c r="L1290" t="s">
        <v>876</v>
      </c>
      <c r="M1290" t="s">
        <v>876</v>
      </c>
      <c r="N1290" t="s">
        <v>876</v>
      </c>
      <c r="O1290" t="s">
        <v>876</v>
      </c>
      <c r="P1290" t="s">
        <v>876</v>
      </c>
    </row>
    <row r="1291" spans="1:17" x14ac:dyDescent="0.2">
      <c r="A1291" s="60" t="s">
        <v>5637</v>
      </c>
      <c r="B1291" t="s">
        <v>5638</v>
      </c>
      <c r="C1291" t="s">
        <v>5639</v>
      </c>
      <c r="D1291" t="s">
        <v>869</v>
      </c>
      <c r="F1291">
        <v>302760</v>
      </c>
      <c r="J1291">
        <v>1</v>
      </c>
      <c r="L1291" t="s">
        <v>876</v>
      </c>
      <c r="M1291" t="s">
        <v>876</v>
      </c>
      <c r="N1291" t="s">
        <v>876</v>
      </c>
      <c r="O1291" t="s">
        <v>876</v>
      </c>
      <c r="P1291" t="s">
        <v>876</v>
      </c>
    </row>
    <row r="1292" spans="1:17" x14ac:dyDescent="0.2">
      <c r="A1292" s="60" t="s">
        <v>5640</v>
      </c>
      <c r="B1292" t="s">
        <v>5641</v>
      </c>
      <c r="C1292" t="s">
        <v>5642</v>
      </c>
      <c r="D1292" t="s">
        <v>869</v>
      </c>
      <c r="F1292">
        <v>302761</v>
      </c>
      <c r="J1292">
        <v>1</v>
      </c>
      <c r="L1292" t="s">
        <v>876</v>
      </c>
      <c r="M1292" t="s">
        <v>876</v>
      </c>
      <c r="N1292" t="s">
        <v>876</v>
      </c>
      <c r="O1292" t="s">
        <v>876</v>
      </c>
      <c r="P1292" t="s">
        <v>876</v>
      </c>
    </row>
    <row r="1293" spans="1:17" x14ac:dyDescent="0.2">
      <c r="A1293" s="60" t="s">
        <v>5643</v>
      </c>
      <c r="B1293" t="s">
        <v>5644</v>
      </c>
      <c r="C1293" t="s">
        <v>5645</v>
      </c>
      <c r="D1293" t="s">
        <v>869</v>
      </c>
      <c r="F1293">
        <v>302762</v>
      </c>
      <c r="J1293">
        <v>1</v>
      </c>
      <c r="L1293" t="s">
        <v>876</v>
      </c>
      <c r="M1293" t="s">
        <v>876</v>
      </c>
      <c r="N1293" t="s">
        <v>876</v>
      </c>
      <c r="O1293" t="s">
        <v>876</v>
      </c>
      <c r="P1293" t="s">
        <v>876</v>
      </c>
    </row>
    <row r="1294" spans="1:17" x14ac:dyDescent="0.2">
      <c r="A1294" s="60" t="s">
        <v>5646</v>
      </c>
      <c r="B1294" t="s">
        <v>5647</v>
      </c>
      <c r="C1294" t="s">
        <v>5600</v>
      </c>
      <c r="D1294" t="s">
        <v>5601</v>
      </c>
      <c r="F1294">
        <v>302763</v>
      </c>
      <c r="J1294">
        <v>1</v>
      </c>
      <c r="L1294" t="s">
        <v>876</v>
      </c>
      <c r="M1294" t="s">
        <v>876</v>
      </c>
      <c r="N1294" t="s">
        <v>876</v>
      </c>
      <c r="O1294" t="s">
        <v>876</v>
      </c>
      <c r="P1294" t="s">
        <v>876</v>
      </c>
    </row>
    <row r="1295" spans="1:17" x14ac:dyDescent="0.2">
      <c r="A1295" s="60" t="s">
        <v>5648</v>
      </c>
      <c r="B1295" t="s">
        <v>5649</v>
      </c>
      <c r="C1295" t="s">
        <v>5650</v>
      </c>
      <c r="D1295" t="s">
        <v>1465</v>
      </c>
      <c r="F1295">
        <v>302764</v>
      </c>
      <c r="J1295">
        <v>1</v>
      </c>
      <c r="L1295" t="s">
        <v>876</v>
      </c>
      <c r="M1295" t="s">
        <v>876</v>
      </c>
      <c r="N1295" t="s">
        <v>876</v>
      </c>
      <c r="O1295" t="s">
        <v>876</v>
      </c>
      <c r="P1295" t="s">
        <v>876</v>
      </c>
    </row>
    <row r="1296" spans="1:17" x14ac:dyDescent="0.2">
      <c r="A1296" s="60" t="s">
        <v>5651</v>
      </c>
      <c r="B1296" t="s">
        <v>5652</v>
      </c>
      <c r="C1296" t="s">
        <v>5653</v>
      </c>
      <c r="D1296" t="s">
        <v>1465</v>
      </c>
      <c r="F1296">
        <v>302765</v>
      </c>
      <c r="J1296">
        <v>1</v>
      </c>
      <c r="L1296" t="s">
        <v>876</v>
      </c>
      <c r="M1296" t="s">
        <v>876</v>
      </c>
      <c r="N1296" t="s">
        <v>876</v>
      </c>
      <c r="O1296" t="s">
        <v>876</v>
      </c>
      <c r="P1296" t="s">
        <v>876</v>
      </c>
    </row>
    <row r="1297" spans="1:25" x14ac:dyDescent="0.2">
      <c r="A1297" s="60" t="s">
        <v>5654</v>
      </c>
      <c r="B1297" t="s">
        <v>5655</v>
      </c>
      <c r="C1297" t="s">
        <v>5656</v>
      </c>
      <c r="D1297" t="s">
        <v>1465</v>
      </c>
      <c r="F1297">
        <v>302766</v>
      </c>
      <c r="J1297">
        <v>1</v>
      </c>
      <c r="L1297" t="s">
        <v>876</v>
      </c>
      <c r="M1297" t="s">
        <v>876</v>
      </c>
      <c r="N1297" t="s">
        <v>876</v>
      </c>
      <c r="O1297" t="s">
        <v>876</v>
      </c>
      <c r="P1297" t="s">
        <v>876</v>
      </c>
    </row>
    <row r="1298" spans="1:25" x14ac:dyDescent="0.2">
      <c r="A1298" s="60" t="s">
        <v>5657</v>
      </c>
      <c r="B1298" t="s">
        <v>5658</v>
      </c>
      <c r="C1298" t="s">
        <v>5659</v>
      </c>
      <c r="D1298" t="s">
        <v>1465</v>
      </c>
      <c r="F1298">
        <v>302767</v>
      </c>
      <c r="J1298">
        <v>1</v>
      </c>
      <c r="L1298" t="s">
        <v>876</v>
      </c>
      <c r="M1298" t="s">
        <v>876</v>
      </c>
      <c r="N1298" t="s">
        <v>876</v>
      </c>
      <c r="O1298" t="s">
        <v>876</v>
      </c>
      <c r="P1298" t="s">
        <v>876</v>
      </c>
    </row>
    <row r="1299" spans="1:25" x14ac:dyDescent="0.2">
      <c r="A1299" s="60" t="s">
        <v>5660</v>
      </c>
      <c r="B1299" t="s">
        <v>5661</v>
      </c>
      <c r="C1299" t="s">
        <v>5662</v>
      </c>
      <c r="D1299" t="s">
        <v>1465</v>
      </c>
      <c r="F1299">
        <v>302768</v>
      </c>
      <c r="J1299">
        <v>1</v>
      </c>
      <c r="L1299" t="s">
        <v>876</v>
      </c>
      <c r="M1299" t="s">
        <v>876</v>
      </c>
      <c r="N1299" t="s">
        <v>876</v>
      </c>
      <c r="O1299" t="s">
        <v>876</v>
      </c>
      <c r="P1299" t="s">
        <v>876</v>
      </c>
    </row>
    <row r="1300" spans="1:25" x14ac:dyDescent="0.2">
      <c r="A1300" s="60" t="s">
        <v>5663</v>
      </c>
      <c r="B1300" t="s">
        <v>5664</v>
      </c>
      <c r="C1300" t="s">
        <v>5665</v>
      </c>
      <c r="D1300" t="s">
        <v>1465</v>
      </c>
      <c r="F1300">
        <v>302769</v>
      </c>
      <c r="J1300">
        <v>1</v>
      </c>
      <c r="L1300" t="s">
        <v>876</v>
      </c>
      <c r="M1300" t="s">
        <v>876</v>
      </c>
      <c r="N1300" t="s">
        <v>876</v>
      </c>
      <c r="O1300" t="s">
        <v>876</v>
      </c>
      <c r="P1300" t="s">
        <v>876</v>
      </c>
    </row>
    <row r="1301" spans="1:25" x14ac:dyDescent="0.2">
      <c r="A1301" s="60" t="s">
        <v>5666</v>
      </c>
      <c r="B1301" t="s">
        <v>5667</v>
      </c>
      <c r="C1301" t="s">
        <v>5668</v>
      </c>
      <c r="D1301" t="s">
        <v>1465</v>
      </c>
      <c r="F1301">
        <v>302770</v>
      </c>
      <c r="J1301">
        <v>1</v>
      </c>
      <c r="L1301" t="s">
        <v>876</v>
      </c>
      <c r="M1301" t="s">
        <v>876</v>
      </c>
      <c r="N1301" t="s">
        <v>876</v>
      </c>
      <c r="O1301" t="s">
        <v>876</v>
      </c>
      <c r="P1301" t="s">
        <v>876</v>
      </c>
    </row>
    <row r="1302" spans="1:25" x14ac:dyDescent="0.2">
      <c r="A1302" s="60" t="s">
        <v>5669</v>
      </c>
      <c r="B1302" t="s">
        <v>5670</v>
      </c>
      <c r="C1302" t="s">
        <v>5671</v>
      </c>
      <c r="D1302" t="s">
        <v>1465</v>
      </c>
      <c r="F1302">
        <v>302771</v>
      </c>
      <c r="J1302">
        <v>1</v>
      </c>
      <c r="L1302" t="s">
        <v>876</v>
      </c>
      <c r="M1302" t="s">
        <v>876</v>
      </c>
      <c r="N1302" t="s">
        <v>876</v>
      </c>
      <c r="O1302" t="s">
        <v>876</v>
      </c>
      <c r="P1302" t="s">
        <v>876</v>
      </c>
    </row>
    <row r="1303" spans="1:25" x14ac:dyDescent="0.2">
      <c r="A1303" s="60" t="s">
        <v>5672</v>
      </c>
      <c r="B1303" t="s">
        <v>5673</v>
      </c>
      <c r="C1303" t="s">
        <v>5674</v>
      </c>
      <c r="D1303" t="s">
        <v>1465</v>
      </c>
      <c r="F1303">
        <v>302772</v>
      </c>
      <c r="J1303">
        <v>1</v>
      </c>
      <c r="L1303" t="s">
        <v>876</v>
      </c>
      <c r="M1303" t="s">
        <v>876</v>
      </c>
      <c r="N1303" t="s">
        <v>876</v>
      </c>
      <c r="O1303" t="s">
        <v>876</v>
      </c>
      <c r="P1303" t="s">
        <v>876</v>
      </c>
    </row>
    <row r="1304" spans="1:25" x14ac:dyDescent="0.2">
      <c r="A1304" s="60" t="s">
        <v>5675</v>
      </c>
      <c r="B1304" t="s">
        <v>5676</v>
      </c>
      <c r="C1304" t="s">
        <v>5677</v>
      </c>
      <c r="D1304" t="s">
        <v>1465</v>
      </c>
      <c r="F1304">
        <v>302773</v>
      </c>
      <c r="J1304">
        <v>1</v>
      </c>
      <c r="L1304" t="s">
        <v>876</v>
      </c>
      <c r="M1304" t="s">
        <v>876</v>
      </c>
      <c r="N1304" t="s">
        <v>876</v>
      </c>
      <c r="O1304" t="s">
        <v>876</v>
      </c>
      <c r="P1304" t="s">
        <v>876</v>
      </c>
    </row>
    <row r="1305" spans="1:25" x14ac:dyDescent="0.2">
      <c r="A1305" s="60" t="s">
        <v>5678</v>
      </c>
      <c r="B1305" t="s">
        <v>5679</v>
      </c>
      <c r="C1305" t="s">
        <v>5680</v>
      </c>
      <c r="D1305" t="s">
        <v>1465</v>
      </c>
      <c r="F1305">
        <v>302774</v>
      </c>
      <c r="J1305">
        <v>1</v>
      </c>
      <c r="L1305" t="s">
        <v>876</v>
      </c>
      <c r="M1305" t="s">
        <v>876</v>
      </c>
      <c r="N1305" t="s">
        <v>876</v>
      </c>
      <c r="O1305" t="s">
        <v>876</v>
      </c>
      <c r="P1305" t="s">
        <v>876</v>
      </c>
    </row>
    <row r="1306" spans="1:25" x14ac:dyDescent="0.2">
      <c r="A1306" s="60" t="s">
        <v>5681</v>
      </c>
      <c r="B1306" t="s">
        <v>5682</v>
      </c>
      <c r="C1306" t="s">
        <v>5683</v>
      </c>
      <c r="D1306" t="s">
        <v>1465</v>
      </c>
      <c r="F1306">
        <v>302776</v>
      </c>
      <c r="J1306">
        <v>1</v>
      </c>
      <c r="L1306" t="s">
        <v>876</v>
      </c>
      <c r="M1306" t="s">
        <v>876</v>
      </c>
      <c r="N1306" t="s">
        <v>876</v>
      </c>
      <c r="O1306" t="s">
        <v>876</v>
      </c>
      <c r="P1306" t="s">
        <v>876</v>
      </c>
    </row>
    <row r="1307" spans="1:25" x14ac:dyDescent="0.2">
      <c r="A1307" s="60" t="s">
        <v>5684</v>
      </c>
      <c r="B1307" t="s">
        <v>5685</v>
      </c>
      <c r="C1307" t="s">
        <v>5686</v>
      </c>
      <c r="D1307" t="s">
        <v>3880</v>
      </c>
      <c r="F1307">
        <v>302849</v>
      </c>
      <c r="J1307">
        <v>1</v>
      </c>
      <c r="L1307" t="s">
        <v>876</v>
      </c>
      <c r="M1307" t="s">
        <v>876</v>
      </c>
      <c r="N1307" t="s">
        <v>876</v>
      </c>
      <c r="O1307" t="s">
        <v>876</v>
      </c>
      <c r="P1307" t="s">
        <v>876</v>
      </c>
    </row>
    <row r="1308" spans="1:25" x14ac:dyDescent="0.2">
      <c r="A1308" s="60" t="s">
        <v>5687</v>
      </c>
      <c r="B1308" t="s">
        <v>5688</v>
      </c>
      <c r="C1308" t="s">
        <v>5689</v>
      </c>
      <c r="D1308" t="s">
        <v>5690</v>
      </c>
      <c r="F1308">
        <v>302850</v>
      </c>
      <c r="J1308">
        <v>1</v>
      </c>
      <c r="K1308">
        <v>1</v>
      </c>
      <c r="L1308" t="s">
        <v>876</v>
      </c>
      <c r="M1308" t="s">
        <v>876</v>
      </c>
      <c r="N1308" t="s">
        <v>876</v>
      </c>
      <c r="O1308" t="s">
        <v>876</v>
      </c>
      <c r="P1308" t="s">
        <v>876</v>
      </c>
      <c r="T1308">
        <v>10000</v>
      </c>
      <c r="U1308">
        <v>10000</v>
      </c>
      <c r="V1308">
        <v>10000</v>
      </c>
      <c r="W1308">
        <v>10000</v>
      </c>
      <c r="X1308">
        <v>4.6875146844006288E-2</v>
      </c>
      <c r="Y1308">
        <v>0.13020833394293982</v>
      </c>
    </row>
    <row r="1309" spans="1:25" x14ac:dyDescent="0.2">
      <c r="A1309" s="60" t="s">
        <v>5691</v>
      </c>
      <c r="B1309" t="s">
        <v>5692</v>
      </c>
      <c r="C1309" t="s">
        <v>5693</v>
      </c>
      <c r="D1309" t="s">
        <v>4112</v>
      </c>
      <c r="F1309">
        <v>302981</v>
      </c>
      <c r="J1309">
        <v>1</v>
      </c>
      <c r="L1309" t="s">
        <v>876</v>
      </c>
      <c r="M1309" t="s">
        <v>876</v>
      </c>
      <c r="N1309" t="s">
        <v>876</v>
      </c>
      <c r="O1309" t="s">
        <v>876</v>
      </c>
      <c r="P1309" t="s">
        <v>876</v>
      </c>
      <c r="R1309">
        <v>1</v>
      </c>
    </row>
    <row r="1310" spans="1:25" x14ac:dyDescent="0.2">
      <c r="A1310" s="60" t="s">
        <v>5694</v>
      </c>
      <c r="B1310" t="s">
        <v>5695</v>
      </c>
      <c r="C1310" t="s">
        <v>5696</v>
      </c>
      <c r="D1310" t="s">
        <v>5697</v>
      </c>
      <c r="F1310">
        <v>302989</v>
      </c>
      <c r="J1310">
        <v>1</v>
      </c>
      <c r="L1310" t="s">
        <v>876</v>
      </c>
      <c r="M1310" t="s">
        <v>876</v>
      </c>
      <c r="N1310" t="s">
        <v>876</v>
      </c>
      <c r="O1310" t="s">
        <v>876</v>
      </c>
      <c r="P1310" t="s">
        <v>876</v>
      </c>
    </row>
    <row r="1311" spans="1:25" x14ac:dyDescent="0.2">
      <c r="A1311" s="60" t="s">
        <v>5698</v>
      </c>
      <c r="B1311" t="s">
        <v>5699</v>
      </c>
      <c r="C1311" t="s">
        <v>5700</v>
      </c>
      <c r="D1311" t="s">
        <v>1662</v>
      </c>
      <c r="F1311">
        <v>302990</v>
      </c>
      <c r="J1311">
        <v>1</v>
      </c>
      <c r="L1311" t="s">
        <v>5701</v>
      </c>
      <c r="M1311" t="s">
        <v>5593</v>
      </c>
      <c r="N1311" t="s">
        <v>876</v>
      </c>
      <c r="O1311" t="s">
        <v>1032</v>
      </c>
      <c r="P1311" t="s">
        <v>1033</v>
      </c>
    </row>
    <row r="1312" spans="1:25" x14ac:dyDescent="0.2">
      <c r="A1312" s="60" t="s">
        <v>5702</v>
      </c>
      <c r="B1312" t="s">
        <v>5703</v>
      </c>
      <c r="C1312" t="s">
        <v>5704</v>
      </c>
      <c r="D1312" t="s">
        <v>5705</v>
      </c>
      <c r="F1312">
        <v>302991</v>
      </c>
      <c r="J1312">
        <v>1</v>
      </c>
      <c r="L1312" t="s">
        <v>5706</v>
      </c>
      <c r="M1312" t="s">
        <v>5707</v>
      </c>
      <c r="N1312" t="s">
        <v>876</v>
      </c>
      <c r="O1312" t="s">
        <v>1032</v>
      </c>
      <c r="P1312" t="s">
        <v>1033</v>
      </c>
      <c r="Q1312">
        <v>1</v>
      </c>
      <c r="S1312">
        <v>1</v>
      </c>
    </row>
    <row r="1313" spans="1:17" x14ac:dyDescent="0.2">
      <c r="A1313" s="60" t="s">
        <v>5708</v>
      </c>
      <c r="B1313" t="s">
        <v>5709</v>
      </c>
      <c r="C1313" t="s">
        <v>5710</v>
      </c>
      <c r="D1313" t="s">
        <v>1662</v>
      </c>
      <c r="F1313">
        <v>302992</v>
      </c>
      <c r="J1313">
        <v>1</v>
      </c>
      <c r="L1313" t="s">
        <v>5711</v>
      </c>
      <c r="M1313" t="s">
        <v>5712</v>
      </c>
      <c r="N1313" t="s">
        <v>876</v>
      </c>
      <c r="O1313" t="s">
        <v>667</v>
      </c>
      <c r="P1313" t="s">
        <v>668</v>
      </c>
      <c r="Q1313">
        <v>1</v>
      </c>
    </row>
    <row r="1314" spans="1:17" x14ac:dyDescent="0.2">
      <c r="A1314" s="60" t="s">
        <v>5713</v>
      </c>
      <c r="B1314" t="s">
        <v>5714</v>
      </c>
      <c r="C1314" t="s">
        <v>5715</v>
      </c>
      <c r="D1314" t="s">
        <v>5716</v>
      </c>
      <c r="F1314">
        <v>302993</v>
      </c>
      <c r="J1314">
        <v>1</v>
      </c>
      <c r="L1314" t="s">
        <v>876</v>
      </c>
      <c r="M1314" t="s">
        <v>876</v>
      </c>
      <c r="N1314" t="s">
        <v>876</v>
      </c>
      <c r="O1314" t="s">
        <v>876</v>
      </c>
      <c r="P1314" t="s">
        <v>876</v>
      </c>
    </row>
    <row r="1315" spans="1:17" x14ac:dyDescent="0.2">
      <c r="A1315" s="60" t="s">
        <v>5717</v>
      </c>
      <c r="B1315" t="s">
        <v>5718</v>
      </c>
      <c r="C1315" t="s">
        <v>5719</v>
      </c>
      <c r="D1315" t="s">
        <v>5720</v>
      </c>
      <c r="F1315">
        <v>302994</v>
      </c>
      <c r="J1315">
        <v>1</v>
      </c>
      <c r="L1315" t="s">
        <v>5721</v>
      </c>
      <c r="M1315" t="s">
        <v>2786</v>
      </c>
      <c r="N1315" t="s">
        <v>876</v>
      </c>
      <c r="O1315" t="s">
        <v>1032</v>
      </c>
      <c r="P1315" t="s">
        <v>1033</v>
      </c>
      <c r="Q1315">
        <v>1</v>
      </c>
    </row>
    <row r="1316" spans="1:17" x14ac:dyDescent="0.2">
      <c r="A1316" s="60" t="s">
        <v>5722</v>
      </c>
      <c r="B1316" t="s">
        <v>5723</v>
      </c>
      <c r="C1316" t="s">
        <v>5724</v>
      </c>
      <c r="D1316" t="s">
        <v>5705</v>
      </c>
      <c r="F1316">
        <v>302996</v>
      </c>
      <c r="J1316">
        <v>1</v>
      </c>
      <c r="L1316" t="s">
        <v>876</v>
      </c>
      <c r="M1316" t="s">
        <v>876</v>
      </c>
      <c r="N1316" t="s">
        <v>876</v>
      </c>
      <c r="O1316" t="s">
        <v>876</v>
      </c>
      <c r="P1316" t="s">
        <v>876</v>
      </c>
    </row>
    <row r="1317" spans="1:17" x14ac:dyDescent="0.2">
      <c r="A1317" s="60" t="s">
        <v>5725</v>
      </c>
      <c r="B1317" t="s">
        <v>5726</v>
      </c>
      <c r="C1317" t="s">
        <v>5727</v>
      </c>
      <c r="D1317" t="s">
        <v>5705</v>
      </c>
      <c r="F1317">
        <v>302997</v>
      </c>
      <c r="J1317">
        <v>1</v>
      </c>
      <c r="L1317" t="s">
        <v>5728</v>
      </c>
      <c r="M1317" t="s">
        <v>5729</v>
      </c>
      <c r="N1317" t="s">
        <v>876</v>
      </c>
      <c r="O1317" t="s">
        <v>1032</v>
      </c>
      <c r="P1317" t="s">
        <v>1033</v>
      </c>
    </row>
    <row r="1318" spans="1:17" x14ac:dyDescent="0.2">
      <c r="A1318" s="60" t="s">
        <v>5730</v>
      </c>
      <c r="B1318" t="s">
        <v>5731</v>
      </c>
      <c r="C1318" t="s">
        <v>5732</v>
      </c>
      <c r="D1318" t="s">
        <v>1662</v>
      </c>
      <c r="F1318">
        <v>302998</v>
      </c>
      <c r="J1318">
        <v>1</v>
      </c>
      <c r="L1318" t="s">
        <v>876</v>
      </c>
      <c r="M1318" t="s">
        <v>876</v>
      </c>
      <c r="N1318" t="s">
        <v>876</v>
      </c>
      <c r="O1318" t="s">
        <v>876</v>
      </c>
      <c r="P1318" t="s">
        <v>876</v>
      </c>
    </row>
    <row r="1319" spans="1:17" x14ac:dyDescent="0.2">
      <c r="A1319" s="60" t="s">
        <v>5733</v>
      </c>
      <c r="B1319" t="s">
        <v>5734</v>
      </c>
      <c r="C1319" t="s">
        <v>5735</v>
      </c>
      <c r="D1319" t="s">
        <v>4112</v>
      </c>
      <c r="F1319">
        <v>302999</v>
      </c>
      <c r="J1319">
        <v>1</v>
      </c>
      <c r="L1319" t="s">
        <v>876</v>
      </c>
      <c r="M1319" t="s">
        <v>876</v>
      </c>
      <c r="N1319" t="s">
        <v>876</v>
      </c>
      <c r="O1319" t="s">
        <v>876</v>
      </c>
      <c r="P1319" t="s">
        <v>876</v>
      </c>
    </row>
    <row r="1320" spans="1:17" x14ac:dyDescent="0.2">
      <c r="A1320" s="60" t="s">
        <v>5736</v>
      </c>
      <c r="B1320" t="s">
        <v>5737</v>
      </c>
      <c r="C1320" t="s">
        <v>5738</v>
      </c>
      <c r="D1320" t="s">
        <v>5705</v>
      </c>
      <c r="F1320">
        <v>303000</v>
      </c>
      <c r="J1320">
        <v>1</v>
      </c>
      <c r="L1320" t="s">
        <v>876</v>
      </c>
      <c r="M1320" t="s">
        <v>876</v>
      </c>
      <c r="N1320" t="s">
        <v>876</v>
      </c>
      <c r="O1320" t="s">
        <v>876</v>
      </c>
      <c r="P1320" t="s">
        <v>876</v>
      </c>
    </row>
    <row r="1321" spans="1:17" x14ac:dyDescent="0.2">
      <c r="A1321" s="60" t="s">
        <v>5739</v>
      </c>
      <c r="B1321" t="s">
        <v>5740</v>
      </c>
      <c r="C1321" t="s">
        <v>5741</v>
      </c>
      <c r="D1321" t="s">
        <v>5705</v>
      </c>
      <c r="F1321">
        <v>303001</v>
      </c>
      <c r="J1321">
        <v>1</v>
      </c>
      <c r="L1321" t="s">
        <v>876</v>
      </c>
      <c r="M1321" t="s">
        <v>876</v>
      </c>
      <c r="N1321" t="s">
        <v>876</v>
      </c>
      <c r="O1321" t="s">
        <v>876</v>
      </c>
      <c r="P1321" t="s">
        <v>876</v>
      </c>
    </row>
    <row r="1322" spans="1:17" x14ac:dyDescent="0.2">
      <c r="A1322" s="60" t="s">
        <v>5742</v>
      </c>
      <c r="B1322" t="s">
        <v>5743</v>
      </c>
      <c r="C1322" t="s">
        <v>5744</v>
      </c>
      <c r="D1322" t="s">
        <v>1662</v>
      </c>
      <c r="F1322">
        <v>303002</v>
      </c>
      <c r="J1322">
        <v>1</v>
      </c>
      <c r="L1322" t="s">
        <v>5745</v>
      </c>
      <c r="M1322" t="s">
        <v>5746</v>
      </c>
      <c r="N1322" t="s">
        <v>876</v>
      </c>
      <c r="O1322" t="s">
        <v>1032</v>
      </c>
      <c r="P1322" t="s">
        <v>1033</v>
      </c>
    </row>
    <row r="1323" spans="1:17" x14ac:dyDescent="0.2">
      <c r="A1323" s="60" t="s">
        <v>5747</v>
      </c>
      <c r="B1323" t="s">
        <v>5748</v>
      </c>
      <c r="C1323" t="s">
        <v>5749</v>
      </c>
      <c r="D1323" t="s">
        <v>4112</v>
      </c>
      <c r="F1323">
        <v>303003</v>
      </c>
      <c r="J1323">
        <v>1</v>
      </c>
      <c r="L1323" t="s">
        <v>876</v>
      </c>
      <c r="M1323" t="s">
        <v>876</v>
      </c>
      <c r="N1323" t="s">
        <v>876</v>
      </c>
      <c r="O1323" t="s">
        <v>876</v>
      </c>
      <c r="P1323" t="s">
        <v>876</v>
      </c>
    </row>
    <row r="1324" spans="1:17" x14ac:dyDescent="0.2">
      <c r="A1324" s="60" t="s">
        <v>5750</v>
      </c>
      <c r="B1324" t="s">
        <v>5751</v>
      </c>
      <c r="C1324" t="s">
        <v>5752</v>
      </c>
      <c r="D1324" t="s">
        <v>5705</v>
      </c>
      <c r="F1324">
        <v>303004</v>
      </c>
      <c r="J1324">
        <v>1</v>
      </c>
      <c r="K1324">
        <v>1</v>
      </c>
      <c r="L1324" t="s">
        <v>876</v>
      </c>
      <c r="M1324" t="s">
        <v>876</v>
      </c>
      <c r="N1324" t="s">
        <v>876</v>
      </c>
      <c r="O1324" t="s">
        <v>876</v>
      </c>
      <c r="P1324" t="s">
        <v>876</v>
      </c>
    </row>
    <row r="1325" spans="1:17" x14ac:dyDescent="0.2">
      <c r="A1325" s="60" t="s">
        <v>5753</v>
      </c>
      <c r="B1325" t="s">
        <v>5754</v>
      </c>
      <c r="C1325" t="s">
        <v>5755</v>
      </c>
      <c r="D1325" t="s">
        <v>4112</v>
      </c>
      <c r="F1325">
        <v>303005</v>
      </c>
      <c r="J1325">
        <v>1</v>
      </c>
      <c r="L1325" t="s">
        <v>876</v>
      </c>
      <c r="M1325" t="s">
        <v>876</v>
      </c>
      <c r="N1325" t="s">
        <v>876</v>
      </c>
      <c r="O1325" t="s">
        <v>876</v>
      </c>
      <c r="P1325" t="s">
        <v>876</v>
      </c>
    </row>
    <row r="1326" spans="1:17" x14ac:dyDescent="0.2">
      <c r="A1326" s="60" t="s">
        <v>5756</v>
      </c>
      <c r="B1326" t="s">
        <v>5757</v>
      </c>
      <c r="C1326" t="s">
        <v>5758</v>
      </c>
      <c r="D1326" t="s">
        <v>5759</v>
      </c>
      <c r="F1326">
        <v>303006</v>
      </c>
      <c r="J1326">
        <v>1</v>
      </c>
      <c r="L1326" t="s">
        <v>876</v>
      </c>
      <c r="M1326" t="s">
        <v>876</v>
      </c>
      <c r="N1326" t="s">
        <v>876</v>
      </c>
      <c r="O1326" t="s">
        <v>876</v>
      </c>
      <c r="P1326" t="s">
        <v>876</v>
      </c>
    </row>
    <row r="1327" spans="1:17" x14ac:dyDescent="0.2">
      <c r="A1327" s="60" t="s">
        <v>5760</v>
      </c>
      <c r="B1327" t="s">
        <v>5761</v>
      </c>
      <c r="C1327" t="s">
        <v>5762</v>
      </c>
      <c r="D1327" t="s">
        <v>5705</v>
      </c>
      <c r="F1327">
        <v>303007</v>
      </c>
      <c r="J1327">
        <v>1</v>
      </c>
      <c r="L1327" t="s">
        <v>876</v>
      </c>
      <c r="M1327" t="s">
        <v>876</v>
      </c>
      <c r="N1327" t="s">
        <v>876</v>
      </c>
      <c r="O1327" t="s">
        <v>876</v>
      </c>
      <c r="P1327" t="s">
        <v>876</v>
      </c>
    </row>
    <row r="1328" spans="1:17" x14ac:dyDescent="0.2">
      <c r="A1328" s="60" t="s">
        <v>5763</v>
      </c>
      <c r="B1328" t="s">
        <v>5764</v>
      </c>
      <c r="C1328" t="s">
        <v>5765</v>
      </c>
      <c r="D1328" t="s">
        <v>4112</v>
      </c>
      <c r="F1328">
        <v>303009</v>
      </c>
      <c r="J1328">
        <v>1</v>
      </c>
      <c r="K1328">
        <v>1</v>
      </c>
      <c r="L1328" t="s">
        <v>876</v>
      </c>
      <c r="M1328" t="s">
        <v>876</v>
      </c>
      <c r="N1328" t="s">
        <v>876</v>
      </c>
      <c r="O1328" t="s">
        <v>876</v>
      </c>
      <c r="P1328" t="s">
        <v>876</v>
      </c>
    </row>
    <row r="1329" spans="1:19" x14ac:dyDescent="0.2">
      <c r="A1329" s="60" t="s">
        <v>5766</v>
      </c>
      <c r="B1329" t="s">
        <v>5767</v>
      </c>
      <c r="C1329" t="s">
        <v>5768</v>
      </c>
      <c r="D1329" t="s">
        <v>4112</v>
      </c>
      <c r="F1329">
        <v>303010</v>
      </c>
      <c r="J1329">
        <v>1</v>
      </c>
      <c r="L1329" t="s">
        <v>876</v>
      </c>
      <c r="M1329" t="s">
        <v>876</v>
      </c>
      <c r="N1329" t="s">
        <v>876</v>
      </c>
      <c r="O1329" t="s">
        <v>876</v>
      </c>
      <c r="P1329" t="s">
        <v>876</v>
      </c>
    </row>
    <row r="1330" spans="1:19" x14ac:dyDescent="0.2">
      <c r="A1330" s="60" t="s">
        <v>5769</v>
      </c>
      <c r="B1330" t="s">
        <v>5770</v>
      </c>
      <c r="C1330" t="s">
        <v>5771</v>
      </c>
      <c r="D1330" t="s">
        <v>5772</v>
      </c>
      <c r="F1330">
        <v>303011</v>
      </c>
      <c r="J1330">
        <v>1</v>
      </c>
      <c r="L1330" t="s">
        <v>876</v>
      </c>
      <c r="M1330" t="s">
        <v>876</v>
      </c>
      <c r="N1330" t="s">
        <v>876</v>
      </c>
      <c r="O1330" t="s">
        <v>876</v>
      </c>
      <c r="P1330" t="s">
        <v>876</v>
      </c>
    </row>
    <row r="1331" spans="1:19" x14ac:dyDescent="0.2">
      <c r="A1331" s="60" t="s">
        <v>5773</v>
      </c>
      <c r="B1331" t="s">
        <v>5774</v>
      </c>
      <c r="C1331" t="s">
        <v>5775</v>
      </c>
      <c r="D1331" t="s">
        <v>782</v>
      </c>
      <c r="F1331">
        <v>303217</v>
      </c>
      <c r="J1331">
        <v>1</v>
      </c>
      <c r="L1331" t="s">
        <v>876</v>
      </c>
      <c r="M1331" t="s">
        <v>876</v>
      </c>
      <c r="N1331" t="s">
        <v>876</v>
      </c>
      <c r="O1331" t="s">
        <v>876</v>
      </c>
      <c r="P1331" t="s">
        <v>876</v>
      </c>
      <c r="Q1331">
        <v>1</v>
      </c>
      <c r="S1331">
        <v>1</v>
      </c>
    </row>
    <row r="1332" spans="1:19" x14ac:dyDescent="0.2">
      <c r="A1332" s="60" t="s">
        <v>5776</v>
      </c>
      <c r="B1332" t="s">
        <v>5777</v>
      </c>
      <c r="C1332" t="s">
        <v>5778</v>
      </c>
      <c r="D1332" t="s">
        <v>782</v>
      </c>
      <c r="F1332">
        <v>303218</v>
      </c>
      <c r="J1332">
        <v>1</v>
      </c>
      <c r="L1332" t="s">
        <v>876</v>
      </c>
      <c r="M1332" t="s">
        <v>876</v>
      </c>
      <c r="N1332" t="s">
        <v>876</v>
      </c>
      <c r="O1332" t="s">
        <v>876</v>
      </c>
      <c r="P1332" t="s">
        <v>876</v>
      </c>
    </row>
    <row r="1333" spans="1:19" x14ac:dyDescent="0.2">
      <c r="A1333" s="60" t="s">
        <v>5779</v>
      </c>
      <c r="B1333" t="s">
        <v>5780</v>
      </c>
      <c r="C1333" t="s">
        <v>5781</v>
      </c>
      <c r="D1333" t="s">
        <v>5782</v>
      </c>
      <c r="F1333">
        <v>303219</v>
      </c>
      <c r="J1333">
        <v>1</v>
      </c>
      <c r="L1333" t="s">
        <v>876</v>
      </c>
      <c r="M1333" t="s">
        <v>876</v>
      </c>
      <c r="N1333" t="s">
        <v>876</v>
      </c>
      <c r="O1333" t="s">
        <v>876</v>
      </c>
      <c r="P1333" t="s">
        <v>876</v>
      </c>
    </row>
    <row r="1334" spans="1:19" x14ac:dyDescent="0.2">
      <c r="A1334" s="60" t="s">
        <v>5783</v>
      </c>
      <c r="B1334" t="s">
        <v>5784</v>
      </c>
      <c r="C1334" t="s">
        <v>5785</v>
      </c>
      <c r="D1334" t="s">
        <v>5213</v>
      </c>
      <c r="F1334">
        <v>303220</v>
      </c>
      <c r="J1334">
        <v>1</v>
      </c>
      <c r="K1334">
        <v>1</v>
      </c>
      <c r="L1334" t="s">
        <v>876</v>
      </c>
      <c r="M1334" t="s">
        <v>5786</v>
      </c>
      <c r="N1334" t="s">
        <v>876</v>
      </c>
      <c r="O1334" t="s">
        <v>876</v>
      </c>
      <c r="P1334" t="s">
        <v>876</v>
      </c>
    </row>
    <row r="1335" spans="1:19" x14ac:dyDescent="0.2">
      <c r="A1335" s="60" t="s">
        <v>5787</v>
      </c>
      <c r="B1335" t="s">
        <v>5788</v>
      </c>
      <c r="C1335" t="s">
        <v>5789</v>
      </c>
      <c r="D1335" t="s">
        <v>1351</v>
      </c>
      <c r="F1335">
        <v>303222</v>
      </c>
      <c r="J1335">
        <v>1</v>
      </c>
      <c r="L1335" t="s">
        <v>876</v>
      </c>
      <c r="M1335" t="s">
        <v>2390</v>
      </c>
      <c r="N1335" t="s">
        <v>876</v>
      </c>
      <c r="O1335" t="s">
        <v>876</v>
      </c>
      <c r="P1335" t="s">
        <v>876</v>
      </c>
    </row>
    <row r="1336" spans="1:19" x14ac:dyDescent="0.2">
      <c r="A1336" s="60" t="s">
        <v>5790</v>
      </c>
      <c r="B1336" t="s">
        <v>5791</v>
      </c>
      <c r="C1336" t="s">
        <v>5792</v>
      </c>
      <c r="D1336" t="s">
        <v>1351</v>
      </c>
      <c r="F1336">
        <v>303223</v>
      </c>
      <c r="J1336">
        <v>1</v>
      </c>
      <c r="L1336" t="s">
        <v>876</v>
      </c>
      <c r="M1336" t="s">
        <v>876</v>
      </c>
      <c r="N1336" t="s">
        <v>876</v>
      </c>
      <c r="O1336" t="s">
        <v>876</v>
      </c>
      <c r="P1336" t="s">
        <v>876</v>
      </c>
    </row>
    <row r="1337" spans="1:19" x14ac:dyDescent="0.2">
      <c r="A1337" s="60" t="s">
        <v>5793</v>
      </c>
      <c r="B1337" t="s">
        <v>5794</v>
      </c>
      <c r="C1337" t="s">
        <v>5795</v>
      </c>
      <c r="D1337" t="s">
        <v>5796</v>
      </c>
      <c r="F1337">
        <v>303224</v>
      </c>
      <c r="J1337">
        <v>1</v>
      </c>
      <c r="L1337" t="s">
        <v>5797</v>
      </c>
      <c r="M1337" t="s">
        <v>3025</v>
      </c>
      <c r="N1337" t="s">
        <v>876</v>
      </c>
      <c r="O1337" t="s">
        <v>1032</v>
      </c>
      <c r="P1337" t="s">
        <v>1033</v>
      </c>
    </row>
    <row r="1338" spans="1:19" x14ac:dyDescent="0.2">
      <c r="A1338" s="60" t="s">
        <v>5798</v>
      </c>
      <c r="B1338" t="s">
        <v>5799</v>
      </c>
      <c r="C1338" t="s">
        <v>5800</v>
      </c>
      <c r="D1338" t="s">
        <v>1351</v>
      </c>
      <c r="F1338">
        <v>303225</v>
      </c>
      <c r="J1338">
        <v>1</v>
      </c>
      <c r="L1338" t="s">
        <v>876</v>
      </c>
      <c r="M1338" t="s">
        <v>876</v>
      </c>
      <c r="N1338" t="s">
        <v>876</v>
      </c>
      <c r="O1338" t="s">
        <v>876</v>
      </c>
      <c r="P1338" t="s">
        <v>876</v>
      </c>
    </row>
    <row r="1339" spans="1:19" x14ac:dyDescent="0.2">
      <c r="A1339" s="60" t="s">
        <v>5801</v>
      </c>
      <c r="B1339" t="s">
        <v>5802</v>
      </c>
      <c r="C1339" t="s">
        <v>5803</v>
      </c>
      <c r="D1339" t="s">
        <v>1351</v>
      </c>
      <c r="F1339">
        <v>303226</v>
      </c>
      <c r="J1339">
        <v>1</v>
      </c>
      <c r="L1339" t="s">
        <v>876</v>
      </c>
      <c r="M1339" t="s">
        <v>876</v>
      </c>
      <c r="N1339" t="s">
        <v>876</v>
      </c>
      <c r="O1339" t="s">
        <v>876</v>
      </c>
      <c r="P1339" t="s">
        <v>876</v>
      </c>
    </row>
    <row r="1340" spans="1:19" x14ac:dyDescent="0.2">
      <c r="A1340" s="60" t="s">
        <v>5804</v>
      </c>
      <c r="B1340" t="s">
        <v>5805</v>
      </c>
      <c r="C1340" t="s">
        <v>5806</v>
      </c>
      <c r="D1340" t="s">
        <v>1351</v>
      </c>
      <c r="F1340">
        <v>303227</v>
      </c>
      <c r="J1340">
        <v>1</v>
      </c>
      <c r="L1340" t="s">
        <v>876</v>
      </c>
      <c r="M1340" t="s">
        <v>876</v>
      </c>
      <c r="N1340" t="s">
        <v>876</v>
      </c>
      <c r="O1340" t="s">
        <v>876</v>
      </c>
      <c r="P1340" t="s">
        <v>876</v>
      </c>
    </row>
    <row r="1341" spans="1:19" x14ac:dyDescent="0.2">
      <c r="A1341" s="60" t="s">
        <v>5807</v>
      </c>
      <c r="B1341" t="s">
        <v>5808</v>
      </c>
      <c r="C1341" t="s">
        <v>5809</v>
      </c>
      <c r="D1341" t="s">
        <v>1351</v>
      </c>
      <c r="F1341">
        <v>303228</v>
      </c>
      <c r="J1341">
        <v>1</v>
      </c>
      <c r="L1341" t="s">
        <v>876</v>
      </c>
      <c r="M1341" t="s">
        <v>876</v>
      </c>
      <c r="N1341" t="s">
        <v>876</v>
      </c>
      <c r="O1341" t="s">
        <v>876</v>
      </c>
      <c r="P1341" t="s">
        <v>876</v>
      </c>
    </row>
    <row r="1342" spans="1:19" x14ac:dyDescent="0.2">
      <c r="A1342" s="60" t="s">
        <v>5810</v>
      </c>
      <c r="B1342" t="s">
        <v>5811</v>
      </c>
      <c r="C1342" t="s">
        <v>5812</v>
      </c>
      <c r="D1342" t="s">
        <v>1351</v>
      </c>
      <c r="F1342">
        <v>303229</v>
      </c>
      <c r="J1342">
        <v>1</v>
      </c>
      <c r="L1342" t="s">
        <v>876</v>
      </c>
      <c r="M1342" t="s">
        <v>876</v>
      </c>
      <c r="N1342" t="s">
        <v>876</v>
      </c>
      <c r="O1342" t="s">
        <v>876</v>
      </c>
      <c r="P1342" t="s">
        <v>876</v>
      </c>
    </row>
    <row r="1343" spans="1:19" x14ac:dyDescent="0.2">
      <c r="A1343" s="60" t="s">
        <v>5813</v>
      </c>
      <c r="B1343" t="s">
        <v>5814</v>
      </c>
      <c r="C1343" t="s">
        <v>5815</v>
      </c>
      <c r="D1343" t="s">
        <v>5213</v>
      </c>
      <c r="F1343">
        <v>303231</v>
      </c>
      <c r="J1343">
        <v>1</v>
      </c>
      <c r="L1343" t="s">
        <v>5816</v>
      </c>
      <c r="M1343" t="s">
        <v>5169</v>
      </c>
      <c r="N1343" t="s">
        <v>876</v>
      </c>
      <c r="O1343" t="s">
        <v>671</v>
      </c>
      <c r="P1343" t="s">
        <v>5817</v>
      </c>
    </row>
    <row r="1344" spans="1:19" x14ac:dyDescent="0.2">
      <c r="A1344" s="60" t="s">
        <v>5818</v>
      </c>
      <c r="B1344" t="s">
        <v>5819</v>
      </c>
      <c r="C1344" t="s">
        <v>5820</v>
      </c>
      <c r="D1344" t="s">
        <v>5213</v>
      </c>
      <c r="F1344">
        <v>303232</v>
      </c>
      <c r="J1344">
        <v>1</v>
      </c>
      <c r="L1344" t="s">
        <v>5821</v>
      </c>
      <c r="M1344" t="s">
        <v>0</v>
      </c>
      <c r="N1344" t="s">
        <v>876</v>
      </c>
      <c r="O1344" t="s">
        <v>671</v>
      </c>
      <c r="P1344" t="s">
        <v>5817</v>
      </c>
    </row>
    <row r="1345" spans="1:19" x14ac:dyDescent="0.2">
      <c r="A1345" s="60" t="s">
        <v>5822</v>
      </c>
      <c r="B1345" t="s">
        <v>5823</v>
      </c>
      <c r="C1345" t="s">
        <v>5824</v>
      </c>
      <c r="D1345" t="s">
        <v>5213</v>
      </c>
      <c r="F1345">
        <v>303233</v>
      </c>
      <c r="J1345">
        <v>1</v>
      </c>
      <c r="L1345" t="s">
        <v>5825</v>
      </c>
      <c r="M1345" t="s">
        <v>5147</v>
      </c>
      <c r="N1345" t="s">
        <v>876</v>
      </c>
      <c r="O1345" t="s">
        <v>667</v>
      </c>
      <c r="P1345" t="s">
        <v>1522</v>
      </c>
    </row>
    <row r="1346" spans="1:19" x14ac:dyDescent="0.2">
      <c r="A1346" s="60" t="s">
        <v>748</v>
      </c>
      <c r="B1346" t="s">
        <v>5826</v>
      </c>
      <c r="C1346" t="s">
        <v>5827</v>
      </c>
      <c r="D1346" t="s">
        <v>5213</v>
      </c>
      <c r="F1346">
        <v>303234</v>
      </c>
      <c r="J1346">
        <v>1</v>
      </c>
      <c r="L1346" t="s">
        <v>5828</v>
      </c>
      <c r="M1346" t="s">
        <v>5141</v>
      </c>
      <c r="N1346" t="s">
        <v>876</v>
      </c>
      <c r="O1346" t="s">
        <v>5829</v>
      </c>
      <c r="P1346" t="s">
        <v>5830</v>
      </c>
    </row>
    <row r="1347" spans="1:19" x14ac:dyDescent="0.2">
      <c r="A1347" s="60" t="s">
        <v>5831</v>
      </c>
      <c r="B1347" t="s">
        <v>5832</v>
      </c>
      <c r="C1347" t="s">
        <v>5833</v>
      </c>
      <c r="D1347" t="s">
        <v>5782</v>
      </c>
      <c r="F1347">
        <v>303235</v>
      </c>
      <c r="J1347">
        <v>1</v>
      </c>
      <c r="L1347" t="s">
        <v>876</v>
      </c>
      <c r="M1347" t="s">
        <v>876</v>
      </c>
      <c r="N1347" t="s">
        <v>876</v>
      </c>
      <c r="O1347" t="s">
        <v>876</v>
      </c>
      <c r="P1347" t="s">
        <v>876</v>
      </c>
    </row>
    <row r="1348" spans="1:19" x14ac:dyDescent="0.2">
      <c r="A1348" s="60" t="s">
        <v>5834</v>
      </c>
      <c r="B1348" t="s">
        <v>5835</v>
      </c>
      <c r="C1348" t="s">
        <v>5836</v>
      </c>
      <c r="D1348" t="s">
        <v>1408</v>
      </c>
      <c r="F1348">
        <v>303240</v>
      </c>
      <c r="J1348">
        <v>1</v>
      </c>
      <c r="L1348" t="s">
        <v>876</v>
      </c>
      <c r="M1348" t="s">
        <v>876</v>
      </c>
      <c r="N1348" t="s">
        <v>876</v>
      </c>
      <c r="O1348" t="s">
        <v>876</v>
      </c>
      <c r="P1348" t="s">
        <v>876</v>
      </c>
    </row>
    <row r="1349" spans="1:19" x14ac:dyDescent="0.2">
      <c r="A1349" s="60" t="s">
        <v>5837</v>
      </c>
      <c r="B1349" t="s">
        <v>5838</v>
      </c>
      <c r="C1349" t="s">
        <v>5839</v>
      </c>
      <c r="D1349" t="s">
        <v>1408</v>
      </c>
      <c r="F1349">
        <v>303241</v>
      </c>
      <c r="J1349">
        <v>1</v>
      </c>
      <c r="L1349" t="s">
        <v>876</v>
      </c>
      <c r="M1349" t="s">
        <v>876</v>
      </c>
      <c r="N1349" t="s">
        <v>876</v>
      </c>
      <c r="O1349" t="s">
        <v>876</v>
      </c>
      <c r="P1349" t="s">
        <v>876</v>
      </c>
    </row>
    <row r="1350" spans="1:19" x14ac:dyDescent="0.2">
      <c r="A1350" s="60" t="s">
        <v>5840</v>
      </c>
      <c r="B1350" t="s">
        <v>5841</v>
      </c>
      <c r="C1350" t="s">
        <v>5842</v>
      </c>
      <c r="D1350" t="s">
        <v>1408</v>
      </c>
      <c r="F1350">
        <v>303242</v>
      </c>
      <c r="J1350">
        <v>1</v>
      </c>
      <c r="L1350" t="s">
        <v>876</v>
      </c>
      <c r="M1350" t="s">
        <v>876</v>
      </c>
      <c r="N1350" t="s">
        <v>876</v>
      </c>
      <c r="O1350" t="s">
        <v>876</v>
      </c>
      <c r="P1350" t="s">
        <v>876</v>
      </c>
    </row>
    <row r="1351" spans="1:19" x14ac:dyDescent="0.2">
      <c r="A1351" s="60" t="s">
        <v>1651</v>
      </c>
      <c r="B1351" t="s">
        <v>5843</v>
      </c>
      <c r="C1351" t="s">
        <v>5844</v>
      </c>
      <c r="D1351" t="s">
        <v>5845</v>
      </c>
      <c r="F1351">
        <v>303245</v>
      </c>
      <c r="J1351">
        <v>1</v>
      </c>
      <c r="L1351" t="s">
        <v>876</v>
      </c>
      <c r="M1351" t="s">
        <v>876</v>
      </c>
      <c r="N1351" t="s">
        <v>876</v>
      </c>
      <c r="O1351" t="s">
        <v>876</v>
      </c>
      <c r="P1351" t="s">
        <v>876</v>
      </c>
    </row>
    <row r="1352" spans="1:19" x14ac:dyDescent="0.2">
      <c r="A1352" s="60" t="s">
        <v>5712</v>
      </c>
      <c r="B1352" t="s">
        <v>5846</v>
      </c>
      <c r="C1352" t="s">
        <v>5847</v>
      </c>
      <c r="D1352" t="s">
        <v>1408</v>
      </c>
      <c r="F1352">
        <v>303246</v>
      </c>
      <c r="J1352">
        <v>1</v>
      </c>
      <c r="L1352" t="s">
        <v>876</v>
      </c>
      <c r="M1352" t="s">
        <v>876</v>
      </c>
      <c r="N1352" t="s">
        <v>876</v>
      </c>
      <c r="O1352" t="s">
        <v>876</v>
      </c>
      <c r="P1352" t="s">
        <v>876</v>
      </c>
    </row>
    <row r="1353" spans="1:19" x14ac:dyDescent="0.2">
      <c r="A1353" s="60" t="s">
        <v>5848</v>
      </c>
      <c r="B1353" t="s">
        <v>5849</v>
      </c>
      <c r="C1353" t="s">
        <v>5850</v>
      </c>
      <c r="D1353" t="s">
        <v>1408</v>
      </c>
      <c r="F1353">
        <v>303247</v>
      </c>
      <c r="J1353">
        <v>1</v>
      </c>
      <c r="L1353" t="s">
        <v>876</v>
      </c>
      <c r="M1353" t="s">
        <v>876</v>
      </c>
      <c r="N1353" t="s">
        <v>876</v>
      </c>
      <c r="O1353" t="s">
        <v>876</v>
      </c>
      <c r="P1353" t="s">
        <v>876</v>
      </c>
    </row>
    <row r="1354" spans="1:19" x14ac:dyDescent="0.2">
      <c r="A1354" s="60" t="s">
        <v>5851</v>
      </c>
      <c r="B1354" t="s">
        <v>5852</v>
      </c>
      <c r="C1354" t="s">
        <v>5853</v>
      </c>
      <c r="D1354" t="s">
        <v>1408</v>
      </c>
      <c r="F1354">
        <v>303248</v>
      </c>
      <c r="J1354">
        <v>1</v>
      </c>
      <c r="L1354" t="s">
        <v>876</v>
      </c>
      <c r="M1354" t="s">
        <v>876</v>
      </c>
      <c r="N1354" t="s">
        <v>876</v>
      </c>
      <c r="O1354" t="s">
        <v>876</v>
      </c>
      <c r="P1354" t="s">
        <v>876</v>
      </c>
    </row>
    <row r="1355" spans="1:19" x14ac:dyDescent="0.2">
      <c r="A1355" s="60" t="s">
        <v>5854</v>
      </c>
      <c r="B1355" t="s">
        <v>5855</v>
      </c>
      <c r="C1355" t="s">
        <v>5856</v>
      </c>
      <c r="D1355" t="s">
        <v>5213</v>
      </c>
      <c r="F1355">
        <v>303249</v>
      </c>
      <c r="J1355">
        <v>1</v>
      </c>
      <c r="L1355" t="s">
        <v>876</v>
      </c>
      <c r="M1355" t="s">
        <v>876</v>
      </c>
      <c r="N1355" t="s">
        <v>876</v>
      </c>
      <c r="O1355" t="s">
        <v>876</v>
      </c>
      <c r="P1355" t="s">
        <v>876</v>
      </c>
    </row>
    <row r="1356" spans="1:19" x14ac:dyDescent="0.2">
      <c r="A1356" s="60" t="s">
        <v>5857</v>
      </c>
      <c r="B1356" t="s">
        <v>5858</v>
      </c>
      <c r="C1356" t="s">
        <v>5859</v>
      </c>
      <c r="D1356" t="s">
        <v>5213</v>
      </c>
      <c r="F1356">
        <v>303250</v>
      </c>
      <c r="J1356">
        <v>1</v>
      </c>
      <c r="L1356" t="s">
        <v>5860</v>
      </c>
      <c r="M1356" t="s">
        <v>3211</v>
      </c>
      <c r="N1356" t="s">
        <v>876</v>
      </c>
      <c r="O1356" t="s">
        <v>1032</v>
      </c>
      <c r="P1356" t="s">
        <v>1033</v>
      </c>
    </row>
    <row r="1357" spans="1:19" x14ac:dyDescent="0.2">
      <c r="A1357" s="60" t="s">
        <v>5861</v>
      </c>
      <c r="B1357" t="s">
        <v>5862</v>
      </c>
      <c r="C1357" t="s">
        <v>5863</v>
      </c>
      <c r="D1357" t="s">
        <v>782</v>
      </c>
      <c r="F1357">
        <v>303253</v>
      </c>
      <c r="J1357">
        <v>1</v>
      </c>
      <c r="L1357" t="s">
        <v>5864</v>
      </c>
      <c r="M1357" t="s">
        <v>1880</v>
      </c>
      <c r="N1357" t="s">
        <v>876</v>
      </c>
      <c r="O1357" t="s">
        <v>1032</v>
      </c>
      <c r="P1357" t="s">
        <v>1033</v>
      </c>
      <c r="Q1357">
        <v>1</v>
      </c>
      <c r="S1357">
        <v>1</v>
      </c>
    </row>
    <row r="1358" spans="1:19" x14ac:dyDescent="0.2">
      <c r="A1358" s="60" t="s">
        <v>5865</v>
      </c>
      <c r="B1358" t="s">
        <v>5866</v>
      </c>
      <c r="C1358" t="s">
        <v>5867</v>
      </c>
      <c r="D1358" t="s">
        <v>1351</v>
      </c>
      <c r="F1358">
        <v>303254</v>
      </c>
      <c r="J1358">
        <v>1</v>
      </c>
      <c r="L1358" t="s">
        <v>876</v>
      </c>
      <c r="M1358" t="s">
        <v>876</v>
      </c>
      <c r="N1358" t="s">
        <v>876</v>
      </c>
      <c r="O1358" t="s">
        <v>876</v>
      </c>
      <c r="P1358" t="s">
        <v>876</v>
      </c>
    </row>
    <row r="1359" spans="1:19" x14ac:dyDescent="0.2">
      <c r="A1359" s="60" t="s">
        <v>5868</v>
      </c>
      <c r="B1359" t="s">
        <v>5869</v>
      </c>
      <c r="C1359" t="s">
        <v>5870</v>
      </c>
      <c r="D1359" t="s">
        <v>1351</v>
      </c>
      <c r="F1359">
        <v>303255</v>
      </c>
      <c r="J1359">
        <v>1</v>
      </c>
      <c r="L1359" t="s">
        <v>876</v>
      </c>
      <c r="M1359" t="s">
        <v>876</v>
      </c>
      <c r="N1359" t="s">
        <v>876</v>
      </c>
      <c r="O1359" t="s">
        <v>876</v>
      </c>
      <c r="P1359" t="s">
        <v>876</v>
      </c>
    </row>
    <row r="1360" spans="1:19" x14ac:dyDescent="0.2">
      <c r="A1360" s="60" t="s">
        <v>5871</v>
      </c>
      <c r="B1360" t="s">
        <v>5872</v>
      </c>
      <c r="C1360" t="s">
        <v>5873</v>
      </c>
      <c r="D1360" t="s">
        <v>1351</v>
      </c>
      <c r="F1360">
        <v>303256</v>
      </c>
      <c r="J1360">
        <v>1</v>
      </c>
      <c r="L1360" t="s">
        <v>876</v>
      </c>
      <c r="M1360" t="s">
        <v>876</v>
      </c>
      <c r="N1360" t="s">
        <v>876</v>
      </c>
      <c r="O1360" t="s">
        <v>876</v>
      </c>
      <c r="P1360" t="s">
        <v>876</v>
      </c>
    </row>
    <row r="1361" spans="1:16" x14ac:dyDescent="0.2">
      <c r="A1361" s="60" t="s">
        <v>5874</v>
      </c>
      <c r="B1361" t="s">
        <v>5875</v>
      </c>
      <c r="C1361" t="s">
        <v>5876</v>
      </c>
      <c r="D1361" t="s">
        <v>1351</v>
      </c>
      <c r="F1361">
        <v>303258</v>
      </c>
      <c r="J1361">
        <v>1</v>
      </c>
      <c r="L1361" t="s">
        <v>876</v>
      </c>
      <c r="M1361" t="s">
        <v>876</v>
      </c>
      <c r="N1361" t="s">
        <v>876</v>
      </c>
      <c r="O1361" t="s">
        <v>876</v>
      </c>
      <c r="P1361" t="s">
        <v>876</v>
      </c>
    </row>
    <row r="1362" spans="1:16" x14ac:dyDescent="0.2">
      <c r="A1362" s="60" t="s">
        <v>5877</v>
      </c>
      <c r="B1362" t="s">
        <v>5878</v>
      </c>
      <c r="C1362" t="s">
        <v>5879</v>
      </c>
      <c r="D1362" t="s">
        <v>1351</v>
      </c>
      <c r="F1362">
        <v>303259</v>
      </c>
      <c r="J1362">
        <v>1</v>
      </c>
      <c r="L1362" t="s">
        <v>5880</v>
      </c>
      <c r="M1362" t="s">
        <v>2426</v>
      </c>
      <c r="N1362" t="s">
        <v>876</v>
      </c>
      <c r="O1362" t="s">
        <v>1032</v>
      </c>
      <c r="P1362" t="s">
        <v>1033</v>
      </c>
    </row>
    <row r="1363" spans="1:16" x14ac:dyDescent="0.2">
      <c r="A1363" s="60" t="s">
        <v>5881</v>
      </c>
      <c r="B1363" t="s">
        <v>5882</v>
      </c>
      <c r="C1363" t="s">
        <v>5883</v>
      </c>
      <c r="D1363" t="s">
        <v>1351</v>
      </c>
      <c r="F1363">
        <v>303260</v>
      </c>
      <c r="J1363">
        <v>1</v>
      </c>
      <c r="L1363" t="s">
        <v>876</v>
      </c>
      <c r="M1363" t="s">
        <v>876</v>
      </c>
      <c r="N1363" t="s">
        <v>876</v>
      </c>
      <c r="O1363" t="s">
        <v>876</v>
      </c>
      <c r="P1363" t="s">
        <v>876</v>
      </c>
    </row>
    <row r="1364" spans="1:16" x14ac:dyDescent="0.2">
      <c r="A1364" s="60" t="s">
        <v>5884</v>
      </c>
      <c r="B1364" t="s">
        <v>5885</v>
      </c>
      <c r="C1364" t="s">
        <v>5886</v>
      </c>
      <c r="D1364" t="s">
        <v>1351</v>
      </c>
      <c r="F1364">
        <v>303261</v>
      </c>
      <c r="J1364">
        <v>1</v>
      </c>
      <c r="L1364" t="s">
        <v>876</v>
      </c>
      <c r="M1364" t="s">
        <v>876</v>
      </c>
      <c r="N1364" t="s">
        <v>876</v>
      </c>
      <c r="O1364" t="s">
        <v>876</v>
      </c>
      <c r="P1364" t="s">
        <v>876</v>
      </c>
    </row>
    <row r="1365" spans="1:16" x14ac:dyDescent="0.2">
      <c r="A1365" s="60" t="s">
        <v>5887</v>
      </c>
      <c r="B1365" t="s">
        <v>5888</v>
      </c>
      <c r="C1365" t="s">
        <v>5889</v>
      </c>
      <c r="D1365" t="s">
        <v>1351</v>
      </c>
      <c r="F1365">
        <v>303262</v>
      </c>
      <c r="J1365">
        <v>1</v>
      </c>
      <c r="L1365" t="s">
        <v>876</v>
      </c>
      <c r="M1365" t="s">
        <v>876</v>
      </c>
      <c r="N1365" t="s">
        <v>876</v>
      </c>
      <c r="O1365" t="s">
        <v>876</v>
      </c>
      <c r="P1365" t="s">
        <v>876</v>
      </c>
    </row>
    <row r="1366" spans="1:16" x14ac:dyDescent="0.2">
      <c r="A1366" s="60" t="s">
        <v>5890</v>
      </c>
      <c r="B1366" t="s">
        <v>5891</v>
      </c>
      <c r="C1366" t="s">
        <v>5892</v>
      </c>
      <c r="D1366" t="s">
        <v>4065</v>
      </c>
      <c r="F1366">
        <v>303263</v>
      </c>
      <c r="J1366">
        <v>1</v>
      </c>
      <c r="L1366" t="s">
        <v>876</v>
      </c>
      <c r="M1366" t="s">
        <v>876</v>
      </c>
      <c r="N1366" t="s">
        <v>876</v>
      </c>
      <c r="O1366" t="s">
        <v>876</v>
      </c>
      <c r="P1366" t="s">
        <v>876</v>
      </c>
    </row>
    <row r="1367" spans="1:16" x14ac:dyDescent="0.2">
      <c r="A1367" s="60" t="s">
        <v>5893</v>
      </c>
      <c r="B1367" t="s">
        <v>5894</v>
      </c>
      <c r="C1367" t="s">
        <v>5895</v>
      </c>
      <c r="D1367" t="s">
        <v>1408</v>
      </c>
      <c r="F1367">
        <v>303265</v>
      </c>
      <c r="J1367">
        <v>1</v>
      </c>
      <c r="L1367" t="s">
        <v>876</v>
      </c>
      <c r="M1367" t="s">
        <v>876</v>
      </c>
      <c r="N1367" t="s">
        <v>876</v>
      </c>
      <c r="O1367" t="s">
        <v>876</v>
      </c>
      <c r="P1367" t="s">
        <v>876</v>
      </c>
    </row>
    <row r="1368" spans="1:16" x14ac:dyDescent="0.2">
      <c r="A1368" s="60" t="s">
        <v>5896</v>
      </c>
      <c r="B1368" t="s">
        <v>5897</v>
      </c>
      <c r="C1368" t="s">
        <v>5898</v>
      </c>
      <c r="D1368" t="s">
        <v>1408</v>
      </c>
      <c r="F1368">
        <v>303266</v>
      </c>
      <c r="J1368">
        <v>1</v>
      </c>
      <c r="L1368" t="s">
        <v>876</v>
      </c>
      <c r="M1368" t="s">
        <v>876</v>
      </c>
      <c r="N1368" t="s">
        <v>876</v>
      </c>
      <c r="O1368" t="s">
        <v>876</v>
      </c>
      <c r="P1368" t="s">
        <v>876</v>
      </c>
    </row>
    <row r="1369" spans="1:16" x14ac:dyDescent="0.2">
      <c r="A1369" s="60" t="s">
        <v>5899</v>
      </c>
      <c r="B1369" t="s">
        <v>5900</v>
      </c>
      <c r="C1369" t="s">
        <v>5901</v>
      </c>
      <c r="D1369" t="s">
        <v>5213</v>
      </c>
      <c r="F1369">
        <v>303267</v>
      </c>
      <c r="J1369">
        <v>1</v>
      </c>
      <c r="L1369" t="s">
        <v>876</v>
      </c>
      <c r="M1369" t="s">
        <v>876</v>
      </c>
      <c r="N1369" t="s">
        <v>876</v>
      </c>
      <c r="O1369" t="s">
        <v>876</v>
      </c>
      <c r="P1369" t="s">
        <v>876</v>
      </c>
    </row>
    <row r="1370" spans="1:16" x14ac:dyDescent="0.2">
      <c r="A1370" s="60" t="s">
        <v>5902</v>
      </c>
      <c r="B1370" t="s">
        <v>5903</v>
      </c>
      <c r="C1370" t="s">
        <v>5904</v>
      </c>
      <c r="D1370" t="s">
        <v>1408</v>
      </c>
      <c r="F1370">
        <v>303268</v>
      </c>
      <c r="J1370">
        <v>1</v>
      </c>
      <c r="L1370" t="s">
        <v>876</v>
      </c>
      <c r="M1370" t="s">
        <v>876</v>
      </c>
      <c r="N1370" t="s">
        <v>876</v>
      </c>
      <c r="O1370" t="s">
        <v>876</v>
      </c>
      <c r="P1370" t="s">
        <v>876</v>
      </c>
    </row>
    <row r="1371" spans="1:16" x14ac:dyDescent="0.2">
      <c r="A1371" s="60" t="s">
        <v>5905</v>
      </c>
      <c r="B1371" t="s">
        <v>5906</v>
      </c>
      <c r="C1371" t="s">
        <v>5907</v>
      </c>
      <c r="D1371" t="s">
        <v>5908</v>
      </c>
      <c r="F1371">
        <v>303270</v>
      </c>
      <c r="J1371">
        <v>1</v>
      </c>
      <c r="L1371" t="s">
        <v>876</v>
      </c>
      <c r="M1371" t="s">
        <v>876</v>
      </c>
      <c r="N1371" t="s">
        <v>876</v>
      </c>
      <c r="O1371" t="s">
        <v>876</v>
      </c>
      <c r="P1371" t="s">
        <v>876</v>
      </c>
    </row>
    <row r="1372" spans="1:16" x14ac:dyDescent="0.2">
      <c r="A1372" s="60" t="s">
        <v>5909</v>
      </c>
      <c r="B1372" t="s">
        <v>5910</v>
      </c>
      <c r="C1372" t="s">
        <v>5911</v>
      </c>
      <c r="D1372" t="s">
        <v>5213</v>
      </c>
      <c r="F1372">
        <v>303272</v>
      </c>
      <c r="J1372">
        <v>1</v>
      </c>
      <c r="L1372" t="s">
        <v>876</v>
      </c>
      <c r="M1372" t="s">
        <v>876</v>
      </c>
      <c r="N1372" t="s">
        <v>876</v>
      </c>
      <c r="O1372" t="s">
        <v>876</v>
      </c>
      <c r="P1372" t="s">
        <v>876</v>
      </c>
    </row>
    <row r="1373" spans="1:16" x14ac:dyDescent="0.2">
      <c r="A1373" s="60" t="s">
        <v>5912</v>
      </c>
      <c r="B1373" t="s">
        <v>5913</v>
      </c>
      <c r="C1373" t="s">
        <v>5914</v>
      </c>
      <c r="D1373" t="s">
        <v>5213</v>
      </c>
      <c r="F1373">
        <v>303273</v>
      </c>
      <c r="J1373">
        <v>1</v>
      </c>
      <c r="L1373" t="s">
        <v>876</v>
      </c>
      <c r="M1373" t="s">
        <v>876</v>
      </c>
      <c r="N1373" t="s">
        <v>876</v>
      </c>
      <c r="O1373" t="s">
        <v>876</v>
      </c>
      <c r="P1373" t="s">
        <v>876</v>
      </c>
    </row>
    <row r="1374" spans="1:16" x14ac:dyDescent="0.2">
      <c r="A1374" s="60" t="s">
        <v>5915</v>
      </c>
      <c r="B1374" t="s">
        <v>5916</v>
      </c>
      <c r="C1374" t="s">
        <v>5917</v>
      </c>
      <c r="D1374" t="s">
        <v>1408</v>
      </c>
      <c r="F1374">
        <v>303274</v>
      </c>
      <c r="J1374">
        <v>1</v>
      </c>
      <c r="L1374" t="s">
        <v>876</v>
      </c>
      <c r="M1374" t="s">
        <v>876</v>
      </c>
      <c r="N1374" t="s">
        <v>876</v>
      </c>
      <c r="O1374" t="s">
        <v>876</v>
      </c>
      <c r="P1374" t="s">
        <v>876</v>
      </c>
    </row>
    <row r="1375" spans="1:16" x14ac:dyDescent="0.2">
      <c r="A1375" s="60" t="s">
        <v>5918</v>
      </c>
      <c r="B1375" t="s">
        <v>5919</v>
      </c>
      <c r="C1375" t="s">
        <v>5920</v>
      </c>
      <c r="D1375" t="s">
        <v>5213</v>
      </c>
      <c r="F1375">
        <v>303275</v>
      </c>
      <c r="J1375">
        <v>1</v>
      </c>
      <c r="L1375" t="s">
        <v>876</v>
      </c>
      <c r="M1375" t="s">
        <v>876</v>
      </c>
      <c r="N1375" t="s">
        <v>876</v>
      </c>
      <c r="O1375" t="s">
        <v>876</v>
      </c>
      <c r="P1375" t="s">
        <v>876</v>
      </c>
    </row>
    <row r="1376" spans="1:16" x14ac:dyDescent="0.2">
      <c r="A1376" s="60" t="s">
        <v>5921</v>
      </c>
      <c r="B1376" t="s">
        <v>5922</v>
      </c>
      <c r="C1376" t="s">
        <v>5923</v>
      </c>
      <c r="D1376" t="s">
        <v>5213</v>
      </c>
      <c r="F1376">
        <v>303276</v>
      </c>
      <c r="J1376">
        <v>1</v>
      </c>
      <c r="L1376" t="s">
        <v>876</v>
      </c>
      <c r="M1376" t="s">
        <v>876</v>
      </c>
      <c r="N1376" t="s">
        <v>876</v>
      </c>
      <c r="O1376" t="s">
        <v>876</v>
      </c>
      <c r="P1376" t="s">
        <v>876</v>
      </c>
    </row>
    <row r="1377" spans="1:16" x14ac:dyDescent="0.2">
      <c r="A1377" s="60" t="s">
        <v>5924</v>
      </c>
      <c r="B1377" t="s">
        <v>5925</v>
      </c>
      <c r="C1377" t="s">
        <v>5926</v>
      </c>
      <c r="D1377" t="s">
        <v>5927</v>
      </c>
      <c r="F1377">
        <v>303277</v>
      </c>
      <c r="J1377">
        <v>1</v>
      </c>
      <c r="L1377" t="s">
        <v>876</v>
      </c>
      <c r="M1377" t="s">
        <v>876</v>
      </c>
      <c r="N1377" t="s">
        <v>876</v>
      </c>
      <c r="O1377" t="s">
        <v>876</v>
      </c>
      <c r="P1377" t="s">
        <v>876</v>
      </c>
    </row>
    <row r="1378" spans="1:16" x14ac:dyDescent="0.2">
      <c r="A1378" s="60" t="s">
        <v>5928</v>
      </c>
      <c r="B1378" t="s">
        <v>5929</v>
      </c>
      <c r="C1378" t="s">
        <v>5930</v>
      </c>
      <c r="D1378" t="s">
        <v>1408</v>
      </c>
      <c r="F1378">
        <v>303278</v>
      </c>
      <c r="J1378">
        <v>1</v>
      </c>
      <c r="L1378" t="s">
        <v>876</v>
      </c>
      <c r="M1378" t="s">
        <v>876</v>
      </c>
      <c r="N1378" t="s">
        <v>876</v>
      </c>
      <c r="O1378" t="s">
        <v>876</v>
      </c>
      <c r="P1378" t="s">
        <v>876</v>
      </c>
    </row>
    <row r="1379" spans="1:16" x14ac:dyDescent="0.2">
      <c r="A1379" s="60" t="s">
        <v>5931</v>
      </c>
      <c r="B1379" t="s">
        <v>5932</v>
      </c>
      <c r="C1379" t="s">
        <v>5933</v>
      </c>
      <c r="D1379" t="s">
        <v>1408</v>
      </c>
      <c r="F1379">
        <v>303279</v>
      </c>
      <c r="J1379">
        <v>1</v>
      </c>
      <c r="L1379" t="s">
        <v>876</v>
      </c>
      <c r="M1379" t="s">
        <v>876</v>
      </c>
      <c r="N1379" t="s">
        <v>876</v>
      </c>
      <c r="O1379" t="s">
        <v>876</v>
      </c>
      <c r="P1379" t="s">
        <v>876</v>
      </c>
    </row>
    <row r="1380" spans="1:16" x14ac:dyDescent="0.2">
      <c r="A1380" s="60" t="s">
        <v>5934</v>
      </c>
      <c r="B1380" t="s">
        <v>5935</v>
      </c>
      <c r="C1380" t="s">
        <v>5936</v>
      </c>
      <c r="D1380" t="s">
        <v>1408</v>
      </c>
      <c r="F1380">
        <v>303280</v>
      </c>
      <c r="J1380">
        <v>1</v>
      </c>
      <c r="L1380" t="s">
        <v>876</v>
      </c>
      <c r="M1380" t="s">
        <v>876</v>
      </c>
      <c r="N1380" t="s">
        <v>876</v>
      </c>
      <c r="O1380" t="s">
        <v>876</v>
      </c>
      <c r="P1380" t="s">
        <v>876</v>
      </c>
    </row>
    <row r="1381" spans="1:16" x14ac:dyDescent="0.2">
      <c r="A1381" s="60" t="s">
        <v>5937</v>
      </c>
      <c r="B1381" t="s">
        <v>5938</v>
      </c>
      <c r="C1381" t="s">
        <v>5939</v>
      </c>
      <c r="D1381" t="s">
        <v>4065</v>
      </c>
      <c r="F1381">
        <v>303281</v>
      </c>
      <c r="J1381">
        <v>1</v>
      </c>
      <c r="L1381" t="s">
        <v>876</v>
      </c>
      <c r="M1381" t="s">
        <v>876</v>
      </c>
      <c r="N1381" t="s">
        <v>876</v>
      </c>
      <c r="O1381" t="s">
        <v>876</v>
      </c>
      <c r="P1381" t="s">
        <v>876</v>
      </c>
    </row>
    <row r="1382" spans="1:16" x14ac:dyDescent="0.2">
      <c r="A1382" s="60" t="s">
        <v>5940</v>
      </c>
      <c r="B1382" t="s">
        <v>5941</v>
      </c>
      <c r="C1382" t="s">
        <v>5942</v>
      </c>
      <c r="D1382" t="s">
        <v>5943</v>
      </c>
      <c r="F1382">
        <v>303282</v>
      </c>
      <c r="J1382">
        <v>1</v>
      </c>
      <c r="L1382" t="s">
        <v>876</v>
      </c>
      <c r="M1382" t="s">
        <v>876</v>
      </c>
      <c r="N1382" t="s">
        <v>876</v>
      </c>
      <c r="O1382" t="s">
        <v>876</v>
      </c>
      <c r="P1382" t="s">
        <v>876</v>
      </c>
    </row>
    <row r="1383" spans="1:16" x14ac:dyDescent="0.2">
      <c r="A1383" s="60" t="s">
        <v>5944</v>
      </c>
      <c r="B1383" t="s">
        <v>5945</v>
      </c>
      <c r="C1383" t="s">
        <v>5946</v>
      </c>
      <c r="D1383" t="s">
        <v>1351</v>
      </c>
      <c r="F1383">
        <v>303283</v>
      </c>
      <c r="J1383">
        <v>1</v>
      </c>
      <c r="L1383" t="s">
        <v>876</v>
      </c>
      <c r="M1383" t="s">
        <v>876</v>
      </c>
      <c r="N1383" t="s">
        <v>876</v>
      </c>
      <c r="O1383" t="s">
        <v>876</v>
      </c>
      <c r="P1383" t="s">
        <v>876</v>
      </c>
    </row>
    <row r="1384" spans="1:16" x14ac:dyDescent="0.2">
      <c r="A1384" s="60" t="s">
        <v>5947</v>
      </c>
      <c r="B1384" t="s">
        <v>5948</v>
      </c>
      <c r="C1384" t="s">
        <v>5949</v>
      </c>
      <c r="D1384" t="s">
        <v>1351</v>
      </c>
      <c r="F1384">
        <v>303284</v>
      </c>
      <c r="J1384">
        <v>1</v>
      </c>
      <c r="L1384" t="s">
        <v>876</v>
      </c>
      <c r="M1384" t="s">
        <v>876</v>
      </c>
      <c r="N1384" t="s">
        <v>876</v>
      </c>
      <c r="O1384" t="s">
        <v>876</v>
      </c>
      <c r="P1384" t="s">
        <v>876</v>
      </c>
    </row>
    <row r="1385" spans="1:16" x14ac:dyDescent="0.2">
      <c r="A1385" s="60" t="s">
        <v>5950</v>
      </c>
      <c r="B1385" t="s">
        <v>5951</v>
      </c>
      <c r="C1385" t="s">
        <v>5952</v>
      </c>
      <c r="D1385" t="s">
        <v>1351</v>
      </c>
      <c r="F1385">
        <v>303285</v>
      </c>
      <c r="J1385">
        <v>1</v>
      </c>
      <c r="L1385" t="s">
        <v>5953</v>
      </c>
      <c r="M1385" t="s">
        <v>2859</v>
      </c>
      <c r="N1385" t="s">
        <v>876</v>
      </c>
      <c r="O1385" t="s">
        <v>1032</v>
      </c>
      <c r="P1385" t="s">
        <v>1033</v>
      </c>
    </row>
    <row r="1386" spans="1:16" x14ac:dyDescent="0.2">
      <c r="A1386" s="60" t="s">
        <v>5954</v>
      </c>
      <c r="B1386" t="s">
        <v>5955</v>
      </c>
      <c r="C1386" t="s">
        <v>5956</v>
      </c>
      <c r="D1386" t="s">
        <v>1351</v>
      </c>
      <c r="F1386">
        <v>303286</v>
      </c>
      <c r="J1386">
        <v>1</v>
      </c>
      <c r="L1386" t="s">
        <v>5957</v>
      </c>
      <c r="M1386" t="s">
        <v>3178</v>
      </c>
      <c r="N1386" t="s">
        <v>876</v>
      </c>
      <c r="O1386" t="s">
        <v>1032</v>
      </c>
      <c r="P1386" t="s">
        <v>1033</v>
      </c>
    </row>
    <row r="1387" spans="1:16" x14ac:dyDescent="0.2">
      <c r="A1387" s="60" t="s">
        <v>5958</v>
      </c>
      <c r="B1387" t="s">
        <v>5959</v>
      </c>
      <c r="C1387" t="s">
        <v>5960</v>
      </c>
      <c r="D1387" t="s">
        <v>5213</v>
      </c>
      <c r="F1387">
        <v>303287</v>
      </c>
      <c r="J1387">
        <v>1</v>
      </c>
      <c r="L1387" t="s">
        <v>876</v>
      </c>
      <c r="M1387" t="s">
        <v>876</v>
      </c>
      <c r="N1387" t="s">
        <v>876</v>
      </c>
      <c r="O1387" t="s">
        <v>876</v>
      </c>
      <c r="P1387" t="s">
        <v>876</v>
      </c>
    </row>
    <row r="1388" spans="1:16" x14ac:dyDescent="0.2">
      <c r="A1388" s="60" t="s">
        <v>5961</v>
      </c>
      <c r="B1388" t="s">
        <v>5962</v>
      </c>
      <c r="C1388" t="s">
        <v>5963</v>
      </c>
      <c r="D1388" t="s">
        <v>5213</v>
      </c>
      <c r="F1388">
        <v>303288</v>
      </c>
      <c r="J1388">
        <v>1</v>
      </c>
      <c r="L1388" t="s">
        <v>876</v>
      </c>
      <c r="M1388" t="s">
        <v>876</v>
      </c>
      <c r="N1388" t="s">
        <v>876</v>
      </c>
      <c r="O1388" t="s">
        <v>876</v>
      </c>
      <c r="P1388" t="s">
        <v>876</v>
      </c>
    </row>
    <row r="1389" spans="1:16" x14ac:dyDescent="0.2">
      <c r="A1389" s="60" t="s">
        <v>5964</v>
      </c>
      <c r="B1389" t="s">
        <v>5965</v>
      </c>
      <c r="C1389" t="s">
        <v>5966</v>
      </c>
      <c r="D1389" t="s">
        <v>1408</v>
      </c>
      <c r="F1389">
        <v>303289</v>
      </c>
      <c r="J1389">
        <v>1</v>
      </c>
      <c r="L1389" t="s">
        <v>876</v>
      </c>
      <c r="M1389" t="s">
        <v>876</v>
      </c>
      <c r="N1389" t="s">
        <v>876</v>
      </c>
      <c r="O1389" t="s">
        <v>876</v>
      </c>
      <c r="P1389" t="s">
        <v>876</v>
      </c>
    </row>
    <row r="1390" spans="1:16" x14ac:dyDescent="0.2">
      <c r="A1390" s="60" t="s">
        <v>5967</v>
      </c>
      <c r="B1390" t="s">
        <v>5968</v>
      </c>
      <c r="C1390" t="s">
        <v>5969</v>
      </c>
      <c r="D1390" t="s">
        <v>1408</v>
      </c>
      <c r="F1390">
        <v>303291</v>
      </c>
      <c r="J1390">
        <v>1</v>
      </c>
      <c r="L1390" t="s">
        <v>5970</v>
      </c>
      <c r="M1390" t="s">
        <v>2370</v>
      </c>
      <c r="N1390" t="s">
        <v>876</v>
      </c>
      <c r="O1390" t="s">
        <v>1032</v>
      </c>
      <c r="P1390" t="s">
        <v>1033</v>
      </c>
    </row>
    <row r="1391" spans="1:16" x14ac:dyDescent="0.2">
      <c r="A1391" s="60" t="s">
        <v>5971</v>
      </c>
      <c r="B1391" t="s">
        <v>5972</v>
      </c>
      <c r="C1391" t="s">
        <v>5973</v>
      </c>
      <c r="D1391" t="s">
        <v>5213</v>
      </c>
      <c r="F1391">
        <v>303292</v>
      </c>
      <c r="J1391">
        <v>1</v>
      </c>
      <c r="L1391" t="s">
        <v>5974</v>
      </c>
      <c r="M1391" t="s">
        <v>2373</v>
      </c>
      <c r="N1391" t="s">
        <v>876</v>
      </c>
      <c r="O1391" t="s">
        <v>1032</v>
      </c>
      <c r="P1391" t="s">
        <v>1033</v>
      </c>
    </row>
    <row r="1392" spans="1:16" x14ac:dyDescent="0.2">
      <c r="A1392" s="60" t="s">
        <v>5975</v>
      </c>
      <c r="B1392" t="s">
        <v>5976</v>
      </c>
      <c r="C1392" t="s">
        <v>5977</v>
      </c>
      <c r="D1392" t="s">
        <v>1408</v>
      </c>
      <c r="F1392">
        <v>303293</v>
      </c>
      <c r="J1392">
        <v>1</v>
      </c>
      <c r="L1392" t="s">
        <v>5978</v>
      </c>
      <c r="M1392" t="s">
        <v>2400</v>
      </c>
      <c r="N1392" t="s">
        <v>876</v>
      </c>
      <c r="O1392" t="s">
        <v>1032</v>
      </c>
      <c r="P1392" t="s">
        <v>1033</v>
      </c>
    </row>
    <row r="1393" spans="1:16" x14ac:dyDescent="0.2">
      <c r="A1393" s="60" t="s">
        <v>5979</v>
      </c>
      <c r="B1393" t="s">
        <v>5980</v>
      </c>
      <c r="C1393" t="s">
        <v>5981</v>
      </c>
      <c r="D1393" t="s">
        <v>1408</v>
      </c>
      <c r="F1393">
        <v>303294</v>
      </c>
      <c r="J1393">
        <v>1</v>
      </c>
      <c r="L1393" t="s">
        <v>876</v>
      </c>
      <c r="M1393" t="s">
        <v>876</v>
      </c>
      <c r="N1393" t="s">
        <v>876</v>
      </c>
      <c r="O1393" t="s">
        <v>876</v>
      </c>
      <c r="P1393" t="s">
        <v>876</v>
      </c>
    </row>
    <row r="1394" spans="1:16" x14ac:dyDescent="0.2">
      <c r="A1394" s="60" t="s">
        <v>5982</v>
      </c>
      <c r="B1394" t="s">
        <v>5983</v>
      </c>
      <c r="C1394" t="s">
        <v>5984</v>
      </c>
      <c r="D1394" t="s">
        <v>1408</v>
      </c>
      <c r="F1394">
        <v>303295</v>
      </c>
      <c r="J1394">
        <v>1</v>
      </c>
      <c r="L1394" t="s">
        <v>876</v>
      </c>
      <c r="M1394" t="s">
        <v>876</v>
      </c>
      <c r="N1394" t="s">
        <v>876</v>
      </c>
      <c r="O1394" t="s">
        <v>876</v>
      </c>
      <c r="P1394" t="s">
        <v>876</v>
      </c>
    </row>
    <row r="1395" spans="1:16" x14ac:dyDescent="0.2">
      <c r="A1395" s="60" t="s">
        <v>5985</v>
      </c>
      <c r="B1395" t="s">
        <v>5986</v>
      </c>
      <c r="C1395" t="s">
        <v>5987</v>
      </c>
      <c r="D1395" t="s">
        <v>1408</v>
      </c>
      <c r="F1395">
        <v>303296</v>
      </c>
      <c r="J1395">
        <v>1</v>
      </c>
      <c r="L1395" t="s">
        <v>5988</v>
      </c>
      <c r="M1395" t="s">
        <v>2442</v>
      </c>
      <c r="N1395" t="s">
        <v>876</v>
      </c>
      <c r="O1395" t="s">
        <v>1032</v>
      </c>
      <c r="P1395" t="s">
        <v>1033</v>
      </c>
    </row>
    <row r="1396" spans="1:16" x14ac:dyDescent="0.2">
      <c r="A1396" s="60" t="s">
        <v>5989</v>
      </c>
      <c r="B1396" t="s">
        <v>5990</v>
      </c>
      <c r="C1396" t="s">
        <v>5991</v>
      </c>
      <c r="D1396" t="s">
        <v>1408</v>
      </c>
      <c r="F1396">
        <v>303298</v>
      </c>
      <c r="J1396">
        <v>1</v>
      </c>
      <c r="L1396" t="s">
        <v>5992</v>
      </c>
      <c r="M1396" t="s">
        <v>2293</v>
      </c>
      <c r="N1396" t="s">
        <v>876</v>
      </c>
      <c r="O1396" t="s">
        <v>1032</v>
      </c>
      <c r="P1396" t="s">
        <v>1033</v>
      </c>
    </row>
    <row r="1397" spans="1:16" x14ac:dyDescent="0.2">
      <c r="A1397" s="60" t="s">
        <v>5993</v>
      </c>
      <c r="B1397" t="s">
        <v>5994</v>
      </c>
      <c r="C1397" t="s">
        <v>5995</v>
      </c>
      <c r="D1397" t="s">
        <v>1408</v>
      </c>
      <c r="F1397">
        <v>303299</v>
      </c>
      <c r="J1397">
        <v>1</v>
      </c>
      <c r="L1397" t="s">
        <v>876</v>
      </c>
      <c r="M1397" t="s">
        <v>876</v>
      </c>
      <c r="N1397" t="s">
        <v>876</v>
      </c>
      <c r="O1397" t="s">
        <v>876</v>
      </c>
      <c r="P1397" t="s">
        <v>876</v>
      </c>
    </row>
    <row r="1398" spans="1:16" x14ac:dyDescent="0.2">
      <c r="A1398" s="60" t="s">
        <v>5996</v>
      </c>
      <c r="B1398" t="s">
        <v>5997</v>
      </c>
      <c r="C1398" t="s">
        <v>5998</v>
      </c>
      <c r="D1398" t="s">
        <v>1408</v>
      </c>
      <c r="F1398">
        <v>303300</v>
      </c>
      <c r="J1398">
        <v>1</v>
      </c>
      <c r="L1398" t="s">
        <v>876</v>
      </c>
      <c r="M1398" t="s">
        <v>876</v>
      </c>
      <c r="N1398" t="s">
        <v>876</v>
      </c>
      <c r="O1398" t="s">
        <v>876</v>
      </c>
      <c r="P1398" t="s">
        <v>876</v>
      </c>
    </row>
    <row r="1399" spans="1:16" x14ac:dyDescent="0.2">
      <c r="A1399" s="60" t="s">
        <v>5999</v>
      </c>
      <c r="B1399" t="s">
        <v>6000</v>
      </c>
      <c r="C1399" t="s">
        <v>6001</v>
      </c>
      <c r="D1399" t="s">
        <v>1408</v>
      </c>
      <c r="F1399">
        <v>303302</v>
      </c>
      <c r="J1399">
        <v>1</v>
      </c>
      <c r="L1399" t="s">
        <v>876</v>
      </c>
      <c r="M1399" t="s">
        <v>876</v>
      </c>
      <c r="N1399" t="s">
        <v>876</v>
      </c>
      <c r="O1399" t="s">
        <v>876</v>
      </c>
      <c r="P1399" t="s">
        <v>876</v>
      </c>
    </row>
    <row r="1400" spans="1:16" x14ac:dyDescent="0.2">
      <c r="A1400" s="60" t="s">
        <v>6002</v>
      </c>
      <c r="B1400" t="s">
        <v>6003</v>
      </c>
      <c r="C1400" t="s">
        <v>6004</v>
      </c>
      <c r="D1400" t="s">
        <v>1408</v>
      </c>
      <c r="F1400">
        <v>303303</v>
      </c>
      <c r="J1400">
        <v>1</v>
      </c>
      <c r="L1400" t="s">
        <v>876</v>
      </c>
      <c r="M1400" t="s">
        <v>876</v>
      </c>
      <c r="N1400" t="s">
        <v>876</v>
      </c>
      <c r="O1400" t="s">
        <v>876</v>
      </c>
      <c r="P1400" t="s">
        <v>876</v>
      </c>
    </row>
    <row r="1401" spans="1:16" x14ac:dyDescent="0.2">
      <c r="A1401" s="60" t="s">
        <v>6005</v>
      </c>
      <c r="B1401" t="s">
        <v>6006</v>
      </c>
      <c r="C1401" t="s">
        <v>6007</v>
      </c>
      <c r="D1401" t="s">
        <v>5213</v>
      </c>
      <c r="F1401">
        <v>303304</v>
      </c>
      <c r="J1401">
        <v>1</v>
      </c>
      <c r="L1401" t="s">
        <v>876</v>
      </c>
      <c r="M1401" t="s">
        <v>876</v>
      </c>
      <c r="N1401" t="s">
        <v>876</v>
      </c>
      <c r="O1401" t="s">
        <v>876</v>
      </c>
      <c r="P1401" t="s">
        <v>876</v>
      </c>
    </row>
    <row r="1402" spans="1:16" x14ac:dyDescent="0.2">
      <c r="A1402" s="60" t="s">
        <v>6008</v>
      </c>
      <c r="B1402" t="s">
        <v>6009</v>
      </c>
      <c r="C1402" t="s">
        <v>6010</v>
      </c>
      <c r="D1402" t="s">
        <v>5213</v>
      </c>
      <c r="F1402">
        <v>303305</v>
      </c>
      <c r="J1402">
        <v>1</v>
      </c>
      <c r="L1402" t="s">
        <v>876</v>
      </c>
      <c r="M1402" t="s">
        <v>876</v>
      </c>
      <c r="N1402" t="s">
        <v>876</v>
      </c>
      <c r="O1402" t="s">
        <v>876</v>
      </c>
      <c r="P1402" t="s">
        <v>876</v>
      </c>
    </row>
    <row r="1403" spans="1:16" x14ac:dyDescent="0.2">
      <c r="A1403" s="60" t="s">
        <v>6011</v>
      </c>
      <c r="B1403" t="s">
        <v>6012</v>
      </c>
      <c r="C1403" t="s">
        <v>6013</v>
      </c>
      <c r="D1403" t="s">
        <v>6014</v>
      </c>
      <c r="F1403">
        <v>303306</v>
      </c>
      <c r="J1403">
        <v>1</v>
      </c>
      <c r="L1403" t="s">
        <v>876</v>
      </c>
      <c r="M1403" t="s">
        <v>876</v>
      </c>
      <c r="N1403" t="s">
        <v>876</v>
      </c>
      <c r="O1403" t="s">
        <v>876</v>
      </c>
      <c r="P1403" t="s">
        <v>876</v>
      </c>
    </row>
    <row r="1404" spans="1:16" x14ac:dyDescent="0.2">
      <c r="A1404" s="60" t="s">
        <v>6015</v>
      </c>
      <c r="B1404" t="s">
        <v>6016</v>
      </c>
      <c r="C1404" t="s">
        <v>6017</v>
      </c>
      <c r="D1404" t="s">
        <v>6018</v>
      </c>
      <c r="F1404">
        <v>303307</v>
      </c>
      <c r="J1404">
        <v>1</v>
      </c>
      <c r="L1404" t="s">
        <v>876</v>
      </c>
      <c r="M1404" t="s">
        <v>876</v>
      </c>
      <c r="N1404" t="s">
        <v>876</v>
      </c>
      <c r="O1404" t="s">
        <v>876</v>
      </c>
      <c r="P1404" t="s">
        <v>876</v>
      </c>
    </row>
    <row r="1405" spans="1:16" x14ac:dyDescent="0.2">
      <c r="A1405" s="60" t="s">
        <v>6019</v>
      </c>
      <c r="B1405" t="s">
        <v>6020</v>
      </c>
      <c r="C1405" t="s">
        <v>6021</v>
      </c>
      <c r="D1405" t="s">
        <v>5213</v>
      </c>
      <c r="F1405">
        <v>303308</v>
      </c>
      <c r="J1405">
        <v>1</v>
      </c>
      <c r="L1405" t="s">
        <v>6022</v>
      </c>
      <c r="M1405" t="s">
        <v>2768</v>
      </c>
      <c r="N1405" t="s">
        <v>876</v>
      </c>
      <c r="O1405" t="s">
        <v>1032</v>
      </c>
      <c r="P1405" t="s">
        <v>1033</v>
      </c>
    </row>
    <row r="1406" spans="1:16" x14ac:dyDescent="0.2">
      <c r="A1406" s="60" t="s">
        <v>6023</v>
      </c>
      <c r="B1406" t="s">
        <v>6024</v>
      </c>
      <c r="C1406" t="s">
        <v>6025</v>
      </c>
      <c r="D1406" t="s">
        <v>1408</v>
      </c>
      <c r="F1406">
        <v>303309</v>
      </c>
      <c r="J1406">
        <v>1</v>
      </c>
      <c r="L1406" t="s">
        <v>876</v>
      </c>
      <c r="M1406" t="s">
        <v>876</v>
      </c>
      <c r="N1406" t="s">
        <v>876</v>
      </c>
      <c r="O1406" t="s">
        <v>876</v>
      </c>
      <c r="P1406" t="s">
        <v>876</v>
      </c>
    </row>
    <row r="1407" spans="1:16" x14ac:dyDescent="0.2">
      <c r="A1407" s="60" t="s">
        <v>6026</v>
      </c>
      <c r="B1407" t="s">
        <v>6027</v>
      </c>
      <c r="C1407" t="s">
        <v>6028</v>
      </c>
      <c r="D1407" t="s">
        <v>1408</v>
      </c>
      <c r="F1407">
        <v>303311</v>
      </c>
      <c r="J1407">
        <v>1</v>
      </c>
      <c r="L1407" t="s">
        <v>876</v>
      </c>
      <c r="M1407" t="s">
        <v>876</v>
      </c>
      <c r="N1407" t="s">
        <v>876</v>
      </c>
      <c r="O1407" t="s">
        <v>876</v>
      </c>
      <c r="P1407" t="s">
        <v>876</v>
      </c>
    </row>
    <row r="1408" spans="1:16" x14ac:dyDescent="0.2">
      <c r="A1408" s="60" t="s">
        <v>6029</v>
      </c>
      <c r="B1408" t="s">
        <v>6030</v>
      </c>
      <c r="C1408" t="s">
        <v>6031</v>
      </c>
      <c r="D1408" t="s">
        <v>1408</v>
      </c>
      <c r="F1408">
        <v>303312</v>
      </c>
      <c r="J1408">
        <v>1</v>
      </c>
      <c r="L1408" t="s">
        <v>876</v>
      </c>
      <c r="M1408" t="s">
        <v>876</v>
      </c>
      <c r="N1408" t="s">
        <v>876</v>
      </c>
      <c r="O1408" t="s">
        <v>876</v>
      </c>
      <c r="P1408" t="s">
        <v>876</v>
      </c>
    </row>
    <row r="1409" spans="1:17" x14ac:dyDescent="0.2">
      <c r="A1409" s="60" t="s">
        <v>6032</v>
      </c>
      <c r="B1409" t="s">
        <v>6033</v>
      </c>
      <c r="C1409" t="s">
        <v>6034</v>
      </c>
      <c r="D1409" t="s">
        <v>1408</v>
      </c>
      <c r="F1409">
        <v>303313</v>
      </c>
      <c r="J1409">
        <v>1</v>
      </c>
      <c r="L1409" t="s">
        <v>876</v>
      </c>
      <c r="M1409" t="s">
        <v>876</v>
      </c>
      <c r="N1409" t="s">
        <v>876</v>
      </c>
      <c r="O1409" t="s">
        <v>876</v>
      </c>
      <c r="P1409" t="s">
        <v>876</v>
      </c>
    </row>
    <row r="1410" spans="1:17" x14ac:dyDescent="0.2">
      <c r="A1410" s="60" t="s">
        <v>6035</v>
      </c>
      <c r="B1410" t="s">
        <v>6036</v>
      </c>
      <c r="C1410" t="s">
        <v>6037</v>
      </c>
      <c r="D1410" t="s">
        <v>1408</v>
      </c>
      <c r="F1410">
        <v>303314</v>
      </c>
      <c r="J1410">
        <v>1</v>
      </c>
      <c r="L1410" t="s">
        <v>6038</v>
      </c>
      <c r="M1410" t="s">
        <v>3122</v>
      </c>
      <c r="N1410" t="s">
        <v>876</v>
      </c>
      <c r="O1410" t="s">
        <v>667</v>
      </c>
      <c r="P1410" t="s">
        <v>1522</v>
      </c>
    </row>
    <row r="1411" spans="1:17" x14ac:dyDescent="0.2">
      <c r="A1411" s="60" t="s">
        <v>6039</v>
      </c>
      <c r="B1411" t="s">
        <v>6040</v>
      </c>
      <c r="C1411" t="s">
        <v>6041</v>
      </c>
      <c r="D1411" t="s">
        <v>6042</v>
      </c>
      <c r="F1411">
        <v>303315</v>
      </c>
      <c r="J1411">
        <v>1</v>
      </c>
      <c r="L1411" t="s">
        <v>876</v>
      </c>
      <c r="M1411" t="s">
        <v>876</v>
      </c>
      <c r="N1411" t="s">
        <v>876</v>
      </c>
      <c r="O1411" t="s">
        <v>876</v>
      </c>
      <c r="P1411" t="s">
        <v>876</v>
      </c>
    </row>
    <row r="1412" spans="1:17" x14ac:dyDescent="0.2">
      <c r="A1412" s="60" t="s">
        <v>6043</v>
      </c>
      <c r="B1412" t="s">
        <v>6044</v>
      </c>
      <c r="C1412" t="s">
        <v>6045</v>
      </c>
      <c r="D1412" t="s">
        <v>6046</v>
      </c>
      <c r="F1412">
        <v>303316</v>
      </c>
      <c r="J1412">
        <v>1</v>
      </c>
      <c r="L1412" t="s">
        <v>876</v>
      </c>
      <c r="M1412" t="s">
        <v>876</v>
      </c>
      <c r="N1412" t="s">
        <v>876</v>
      </c>
      <c r="O1412" t="s">
        <v>876</v>
      </c>
      <c r="P1412" t="s">
        <v>876</v>
      </c>
    </row>
    <row r="1413" spans="1:17" x14ac:dyDescent="0.2">
      <c r="A1413" s="60" t="s">
        <v>6047</v>
      </c>
      <c r="B1413" t="s">
        <v>6048</v>
      </c>
      <c r="C1413" t="s">
        <v>6049</v>
      </c>
      <c r="D1413" t="s">
        <v>1408</v>
      </c>
      <c r="F1413">
        <v>303317</v>
      </c>
      <c r="J1413">
        <v>1</v>
      </c>
      <c r="L1413" t="s">
        <v>876</v>
      </c>
      <c r="M1413" t="s">
        <v>876</v>
      </c>
      <c r="N1413" t="s">
        <v>876</v>
      </c>
      <c r="O1413" t="s">
        <v>876</v>
      </c>
      <c r="P1413" t="s">
        <v>876</v>
      </c>
    </row>
    <row r="1414" spans="1:17" x14ac:dyDescent="0.2">
      <c r="A1414" s="60" t="s">
        <v>6050</v>
      </c>
      <c r="B1414" t="s">
        <v>6051</v>
      </c>
      <c r="C1414" t="s">
        <v>6052</v>
      </c>
      <c r="D1414" t="s">
        <v>5213</v>
      </c>
      <c r="F1414">
        <v>303319</v>
      </c>
      <c r="J1414">
        <v>1</v>
      </c>
      <c r="L1414" t="s">
        <v>6053</v>
      </c>
      <c r="M1414" t="s">
        <v>3221</v>
      </c>
      <c r="N1414" t="s">
        <v>876</v>
      </c>
      <c r="O1414" t="s">
        <v>1032</v>
      </c>
      <c r="P1414" t="s">
        <v>1033</v>
      </c>
    </row>
    <row r="1415" spans="1:17" x14ac:dyDescent="0.2">
      <c r="A1415" s="60" t="s">
        <v>6054</v>
      </c>
      <c r="B1415" t="s">
        <v>6055</v>
      </c>
      <c r="C1415" t="s">
        <v>6056</v>
      </c>
      <c r="D1415" t="s">
        <v>782</v>
      </c>
      <c r="F1415">
        <v>303321</v>
      </c>
      <c r="J1415">
        <v>1</v>
      </c>
      <c r="L1415" t="s">
        <v>876</v>
      </c>
      <c r="M1415" t="s">
        <v>876</v>
      </c>
      <c r="N1415" t="s">
        <v>876</v>
      </c>
      <c r="O1415" t="s">
        <v>876</v>
      </c>
      <c r="P1415" t="s">
        <v>876</v>
      </c>
    </row>
    <row r="1416" spans="1:17" x14ac:dyDescent="0.2">
      <c r="A1416" s="60" t="s">
        <v>6057</v>
      </c>
      <c r="B1416" t="s">
        <v>6058</v>
      </c>
      <c r="C1416" t="s">
        <v>6059</v>
      </c>
      <c r="D1416" t="s">
        <v>782</v>
      </c>
      <c r="F1416">
        <v>303322</v>
      </c>
      <c r="J1416">
        <v>1</v>
      </c>
      <c r="L1416" t="s">
        <v>876</v>
      </c>
      <c r="M1416" t="s">
        <v>876</v>
      </c>
      <c r="N1416" t="s">
        <v>876</v>
      </c>
      <c r="O1416" t="s">
        <v>876</v>
      </c>
      <c r="P1416" t="s">
        <v>876</v>
      </c>
    </row>
    <row r="1417" spans="1:17" x14ac:dyDescent="0.2">
      <c r="A1417" s="60" t="s">
        <v>6060</v>
      </c>
      <c r="B1417" t="s">
        <v>6061</v>
      </c>
      <c r="C1417" t="s">
        <v>6062</v>
      </c>
      <c r="D1417" t="s">
        <v>782</v>
      </c>
      <c r="F1417">
        <v>303323</v>
      </c>
      <c r="J1417">
        <v>1</v>
      </c>
      <c r="L1417" t="s">
        <v>876</v>
      </c>
      <c r="M1417" t="s">
        <v>876</v>
      </c>
      <c r="N1417" t="s">
        <v>876</v>
      </c>
      <c r="O1417" t="s">
        <v>876</v>
      </c>
      <c r="P1417" t="s">
        <v>876</v>
      </c>
    </row>
    <row r="1418" spans="1:17" x14ac:dyDescent="0.2">
      <c r="A1418" s="60" t="s">
        <v>6063</v>
      </c>
      <c r="B1418" t="s">
        <v>6064</v>
      </c>
      <c r="C1418" t="s">
        <v>6065</v>
      </c>
      <c r="D1418" t="s">
        <v>782</v>
      </c>
      <c r="F1418">
        <v>303324</v>
      </c>
      <c r="J1418">
        <v>1</v>
      </c>
      <c r="L1418" t="s">
        <v>876</v>
      </c>
      <c r="M1418" t="s">
        <v>876</v>
      </c>
      <c r="N1418" t="s">
        <v>876</v>
      </c>
      <c r="O1418" t="s">
        <v>876</v>
      </c>
      <c r="P1418" t="s">
        <v>876</v>
      </c>
    </row>
    <row r="1419" spans="1:17" x14ac:dyDescent="0.2">
      <c r="A1419" s="60" t="s">
        <v>6066</v>
      </c>
      <c r="B1419" t="s">
        <v>6067</v>
      </c>
      <c r="C1419" t="s">
        <v>6068</v>
      </c>
      <c r="D1419" t="s">
        <v>782</v>
      </c>
      <c r="F1419">
        <v>303325</v>
      </c>
      <c r="J1419">
        <v>1</v>
      </c>
      <c r="L1419" t="s">
        <v>6069</v>
      </c>
      <c r="M1419" t="s">
        <v>2541</v>
      </c>
      <c r="N1419" t="s">
        <v>876</v>
      </c>
      <c r="O1419" t="s">
        <v>1032</v>
      </c>
      <c r="P1419" t="s">
        <v>1033</v>
      </c>
    </row>
    <row r="1420" spans="1:17" x14ac:dyDescent="0.2">
      <c r="A1420" s="60" t="s">
        <v>6070</v>
      </c>
      <c r="B1420" t="s">
        <v>6071</v>
      </c>
      <c r="C1420" t="s">
        <v>6072</v>
      </c>
      <c r="D1420" t="s">
        <v>782</v>
      </c>
      <c r="F1420">
        <v>303326</v>
      </c>
      <c r="J1420">
        <v>1</v>
      </c>
      <c r="L1420" t="s">
        <v>876</v>
      </c>
      <c r="M1420" t="s">
        <v>876</v>
      </c>
      <c r="N1420" t="s">
        <v>876</v>
      </c>
      <c r="O1420" t="s">
        <v>876</v>
      </c>
      <c r="P1420" t="s">
        <v>876</v>
      </c>
    </row>
    <row r="1421" spans="1:17" x14ac:dyDescent="0.2">
      <c r="A1421" s="60" t="s">
        <v>6073</v>
      </c>
      <c r="B1421" t="s">
        <v>6074</v>
      </c>
      <c r="C1421" t="s">
        <v>6075</v>
      </c>
      <c r="D1421" t="s">
        <v>782</v>
      </c>
      <c r="F1421">
        <v>303327</v>
      </c>
      <c r="J1421">
        <v>1</v>
      </c>
      <c r="L1421" t="s">
        <v>876</v>
      </c>
      <c r="M1421" t="s">
        <v>876</v>
      </c>
      <c r="N1421" t="s">
        <v>876</v>
      </c>
      <c r="O1421" t="s">
        <v>876</v>
      </c>
      <c r="P1421" t="s">
        <v>876</v>
      </c>
    </row>
    <row r="1422" spans="1:17" x14ac:dyDescent="0.2">
      <c r="A1422" s="60" t="s">
        <v>6076</v>
      </c>
      <c r="B1422" t="s">
        <v>6077</v>
      </c>
      <c r="C1422" t="s">
        <v>5719</v>
      </c>
      <c r="D1422" t="s">
        <v>5720</v>
      </c>
      <c r="F1422">
        <v>303339</v>
      </c>
      <c r="J1422">
        <v>1</v>
      </c>
      <c r="L1422" t="s">
        <v>5721</v>
      </c>
      <c r="M1422" t="s">
        <v>2786</v>
      </c>
      <c r="N1422" t="s">
        <v>876</v>
      </c>
      <c r="O1422" t="s">
        <v>1032</v>
      </c>
      <c r="P1422" t="s">
        <v>1033</v>
      </c>
      <c r="Q1422">
        <v>1</v>
      </c>
    </row>
    <row r="1423" spans="1:17" x14ac:dyDescent="0.2">
      <c r="A1423" s="60" t="s">
        <v>6078</v>
      </c>
      <c r="B1423" t="s">
        <v>6079</v>
      </c>
      <c r="C1423" t="s">
        <v>5715</v>
      </c>
      <c r="D1423" t="s">
        <v>5716</v>
      </c>
      <c r="F1423">
        <v>303340</v>
      </c>
      <c r="J1423">
        <v>1</v>
      </c>
      <c r="L1423" t="s">
        <v>876</v>
      </c>
      <c r="M1423" t="s">
        <v>876</v>
      </c>
      <c r="N1423" t="s">
        <v>876</v>
      </c>
      <c r="O1423" t="s">
        <v>876</v>
      </c>
      <c r="P1423" t="s">
        <v>876</v>
      </c>
    </row>
    <row r="1424" spans="1:17" x14ac:dyDescent="0.2">
      <c r="A1424" s="60" t="s">
        <v>6080</v>
      </c>
      <c r="B1424" t="s">
        <v>6081</v>
      </c>
      <c r="C1424" t="s">
        <v>5715</v>
      </c>
      <c r="D1424" t="s">
        <v>5716</v>
      </c>
      <c r="F1424">
        <v>303341</v>
      </c>
      <c r="J1424">
        <v>1</v>
      </c>
      <c r="L1424" t="s">
        <v>876</v>
      </c>
      <c r="M1424" t="s">
        <v>876</v>
      </c>
      <c r="N1424" t="s">
        <v>876</v>
      </c>
      <c r="O1424" t="s">
        <v>876</v>
      </c>
      <c r="P1424" t="s">
        <v>876</v>
      </c>
    </row>
    <row r="1425" spans="1:16" x14ac:dyDescent="0.2">
      <c r="A1425" s="60" t="s">
        <v>6082</v>
      </c>
      <c r="B1425" t="s">
        <v>6083</v>
      </c>
      <c r="C1425" t="s">
        <v>5715</v>
      </c>
      <c r="D1425" t="s">
        <v>5716</v>
      </c>
      <c r="F1425">
        <v>303342</v>
      </c>
      <c r="J1425">
        <v>1</v>
      </c>
      <c r="L1425" t="s">
        <v>876</v>
      </c>
      <c r="M1425" t="s">
        <v>876</v>
      </c>
      <c r="N1425" t="s">
        <v>876</v>
      </c>
      <c r="O1425" t="s">
        <v>876</v>
      </c>
      <c r="P1425" t="s">
        <v>876</v>
      </c>
    </row>
    <row r="1426" spans="1:16" x14ac:dyDescent="0.2">
      <c r="A1426" s="60" t="s">
        <v>6084</v>
      </c>
      <c r="B1426" t="s">
        <v>6085</v>
      </c>
      <c r="C1426" t="s">
        <v>1865</v>
      </c>
      <c r="D1426" t="s">
        <v>1866</v>
      </c>
      <c r="F1426">
        <v>303348</v>
      </c>
      <c r="J1426">
        <v>1</v>
      </c>
      <c r="L1426" t="s">
        <v>876</v>
      </c>
      <c r="M1426" t="s">
        <v>876</v>
      </c>
      <c r="N1426" t="s">
        <v>876</v>
      </c>
      <c r="O1426" t="s">
        <v>876</v>
      </c>
      <c r="P1426" t="s">
        <v>876</v>
      </c>
    </row>
  </sheetData>
  <conditionalFormatting sqref="B1">
    <cfRule type="duplicateValues" dxfId="5" priority="2"/>
  </conditionalFormatting>
  <conditionalFormatting sqref="C1">
    <cfRule type="duplicateValues" dxfId="4" priority="3"/>
  </conditionalFormatting>
  <conditionalFormatting sqref="L1">
    <cfRule type="duplicateValues" dxfId="3" priority="4"/>
    <cfRule type="duplicateValues" dxfId="2" priority="6"/>
  </conditionalFormatting>
  <conditionalFormatting sqref="M1">
    <cfRule type="duplicateValues" dxfId="1" priority="5"/>
  </conditionalFormatting>
  <conditionalFormatting sqref="X2:Y32 X34:Y50 X222:Y224 X247:Y249 X261:Y267 X275:Y283 X302:Y404 X406:Y463 X471:Y503 X1126:Y1140 X220:Y220 X72:Y80 X226:Y234 X211:Y212 X505:Y650 X270:Y273 X1033:Y1124 X184:Y202 X847:Y913 X91:Y99 X55:Y63 X165:Y171 X732:Y750 X178:Y182 X831:Y845 X133:Y162 X115:Y120 X82:Y89 X465:Y469 X725:Y730 X772:Y772 X101:Y101 X204:Y209 X103:Y113 X766:Y768 X774:Y774 X978:Y1026 X173:Y176 X122:Y131 X65:Y68 X214:Y216 X52:Y53 X297:Y299 X652:Y655 X657:Y723 X755:Y764 X770:Y770 X776:Y829 X915:Y938 X940:Y976 X1028:Y1031">
    <cfRule type="duplicateValues" dxfId="0" priority="1"/>
  </conditionalFormatting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Master Summary Key</vt:lpstr>
      <vt:lpstr>Master summary-PAHs</vt:lpstr>
      <vt:lpstr>Toxicity Unit Scaling</vt:lpstr>
      <vt:lpstr>Master Summary-Non-PAHs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Tilton, Susan C - ONID</dc:creator>
  <cp:lastModifiedBy>Gosline, Sara J</cp:lastModifiedBy>
  <dcterms:created xsi:type="dcterms:W3CDTF">2015-11-03T21:26:31Z</dcterms:created>
  <dcterms:modified xsi:type="dcterms:W3CDTF">2024-10-25T20:42:19Z</dcterms:modified>
</cp:coreProperties>
</file>